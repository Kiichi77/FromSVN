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5" yWindow="105" windowWidth="15315" windowHeight="3075" tabRatio="854" activeTab="1"/>
  </bookViews>
  <sheets>
    <sheet name="典型配置2" sheetId="15" r:id="rId1"/>
    <sheet name="典型配置2-1" sheetId="3" r:id="rId2"/>
    <sheet name="典型配置3" sheetId="17" r:id="rId3"/>
  </sheets>
  <calcPr calcId="125725"/>
  <customWorkbookViews>
    <customWorkbookView name="粟瑛 - 个人视图" guid="{DCCCEB72-1383-4AAB-8E0E-1EF455A80865}" mergeInterval="0" personalView="1" maximized="1" windowWidth="1276" windowHeight="602" tabRatio="750" activeSheetId="1"/>
  </customWorkbookViews>
</workbook>
</file>

<file path=xl/calcChain.xml><?xml version="1.0" encoding="utf-8"?>
<calcChain xmlns="http://schemas.openxmlformats.org/spreadsheetml/2006/main">
  <c r="G8" i="15"/>
  <c r="I8" s="1"/>
  <c r="M8"/>
  <c r="M10" s="1"/>
  <c r="G9"/>
  <c r="I9" s="1"/>
  <c r="P9"/>
  <c r="Q9" s="1"/>
  <c r="G10"/>
  <c r="L10"/>
  <c r="G12"/>
  <c r="I12" s="1"/>
  <c r="M12"/>
  <c r="G13"/>
  <c r="I13" s="1"/>
  <c r="K13" s="1"/>
  <c r="M13"/>
  <c r="G14"/>
  <c r="I14" s="1"/>
  <c r="K14" s="1"/>
  <c r="M14"/>
  <c r="G15"/>
  <c r="I15" s="1"/>
  <c r="K15" s="1"/>
  <c r="M15"/>
  <c r="E16"/>
  <c r="G16" s="1"/>
  <c r="M16"/>
  <c r="N16" s="1"/>
  <c r="O16" s="1"/>
  <c r="G17"/>
  <c r="I17" s="1"/>
  <c r="K17" s="1"/>
  <c r="M17"/>
  <c r="N17"/>
  <c r="O17" s="1"/>
  <c r="G18"/>
  <c r="I18" s="1"/>
  <c r="K18" s="1"/>
  <c r="M18"/>
  <c r="N18"/>
  <c r="O18" s="1"/>
  <c r="P18" s="1"/>
  <c r="G19"/>
  <c r="I19" s="1"/>
  <c r="K19" s="1"/>
  <c r="Q19" s="1"/>
  <c r="M19"/>
  <c r="N19"/>
  <c r="O19" s="1"/>
  <c r="P19" s="1"/>
  <c r="G20"/>
  <c r="I20" s="1"/>
  <c r="K20" s="1"/>
  <c r="M20"/>
  <c r="N20" s="1"/>
  <c r="G21"/>
  <c r="I21" s="1"/>
  <c r="P21"/>
  <c r="Q21" s="1"/>
  <c r="L22"/>
  <c r="G24"/>
  <c r="I24" s="1"/>
  <c r="P24"/>
  <c r="Q24" s="1"/>
  <c r="G25"/>
  <c r="I25" s="1"/>
  <c r="P25"/>
  <c r="Q25" s="1"/>
  <c r="G26"/>
  <c r="I26" s="1"/>
  <c r="P26"/>
  <c r="Q26" s="1"/>
  <c r="G27"/>
  <c r="I27" s="1"/>
  <c r="P27"/>
  <c r="Q27"/>
  <c r="G8" i="3"/>
  <c r="I8" s="1"/>
  <c r="M8"/>
  <c r="N8" s="1"/>
  <c r="G9"/>
  <c r="I9" s="1"/>
  <c r="P9"/>
  <c r="Q9"/>
  <c r="L10"/>
  <c r="M10"/>
  <c r="G12"/>
  <c r="I12"/>
  <c r="K12"/>
  <c r="M12"/>
  <c r="G13"/>
  <c r="I13"/>
  <c r="K13"/>
  <c r="M13"/>
  <c r="N13" s="1"/>
  <c r="O13" s="1"/>
  <c r="G14"/>
  <c r="I14"/>
  <c r="K14"/>
  <c r="M14"/>
  <c r="G15"/>
  <c r="I15"/>
  <c r="K15"/>
  <c r="M15"/>
  <c r="N15" s="1"/>
  <c r="O15" s="1"/>
  <c r="E16"/>
  <c r="G16"/>
  <c r="I16"/>
  <c r="K16"/>
  <c r="M16"/>
  <c r="N16"/>
  <c r="O16"/>
  <c r="P16"/>
  <c r="G17"/>
  <c r="I17"/>
  <c r="K17" s="1"/>
  <c r="Q17" s="1"/>
  <c r="M17"/>
  <c r="N17"/>
  <c r="O17"/>
  <c r="P17" s="1"/>
  <c r="G18"/>
  <c r="I18"/>
  <c r="K18" s="1"/>
  <c r="M18"/>
  <c r="N18"/>
  <c r="O18"/>
  <c r="P18" s="1"/>
  <c r="G19"/>
  <c r="I19"/>
  <c r="K19"/>
  <c r="M19"/>
  <c r="N19"/>
  <c r="O19"/>
  <c r="P19"/>
  <c r="G20"/>
  <c r="I20"/>
  <c r="K20"/>
  <c r="M20"/>
  <c r="N20"/>
  <c r="O20"/>
  <c r="P20"/>
  <c r="G21"/>
  <c r="I21"/>
  <c r="K21" s="1"/>
  <c r="Q21" s="1"/>
  <c r="M21"/>
  <c r="N21"/>
  <c r="O21"/>
  <c r="P21" s="1"/>
  <c r="G22"/>
  <c r="I22"/>
  <c r="P22"/>
  <c r="Q22" s="1"/>
  <c r="G23"/>
  <c r="I23"/>
  <c r="L23"/>
  <c r="G25"/>
  <c r="I25" s="1"/>
  <c r="I29" s="1"/>
  <c r="P25"/>
  <c r="Q25"/>
  <c r="Q29" s="1"/>
  <c r="G26"/>
  <c r="I26" s="1"/>
  <c r="P26"/>
  <c r="Q26"/>
  <c r="G27"/>
  <c r="I27" s="1"/>
  <c r="P27"/>
  <c r="Q27"/>
  <c r="G28"/>
  <c r="I28" s="1"/>
  <c r="P28"/>
  <c r="Q28"/>
  <c r="G29"/>
  <c r="G8" i="17"/>
  <c r="I8" s="1"/>
  <c r="P8"/>
  <c r="Q8" s="1"/>
  <c r="G9"/>
  <c r="I9" s="1"/>
  <c r="P9"/>
  <c r="Q9" s="1"/>
  <c r="G10"/>
  <c r="I10" s="1"/>
  <c r="P10"/>
  <c r="Q10" s="1"/>
  <c r="G11"/>
  <c r="I11" s="1"/>
  <c r="P11"/>
  <c r="Q11" s="1"/>
  <c r="K12"/>
  <c r="L12"/>
  <c r="M12"/>
  <c r="N12"/>
  <c r="O12"/>
  <c r="G14"/>
  <c r="I14" s="1"/>
  <c r="P14"/>
  <c r="G15"/>
  <c r="I15" s="1"/>
  <c r="P15"/>
  <c r="Q15" s="1"/>
  <c r="G16"/>
  <c r="I16"/>
  <c r="P16"/>
  <c r="Q16" s="1"/>
  <c r="G17"/>
  <c r="I17" s="1"/>
  <c r="P17"/>
  <c r="Q17" s="1"/>
  <c r="K18"/>
  <c r="L18"/>
  <c r="M18"/>
  <c r="N18"/>
  <c r="O18"/>
  <c r="G20"/>
  <c r="I20" s="1"/>
  <c r="P20"/>
  <c r="Q20" s="1"/>
  <c r="G21"/>
  <c r="I21" s="1"/>
  <c r="P21"/>
  <c r="Q21" s="1"/>
  <c r="G22"/>
  <c r="I22" s="1"/>
  <c r="P22"/>
  <c r="Q22" s="1"/>
  <c r="G23"/>
  <c r="I23"/>
  <c r="P23"/>
  <c r="Q23" s="1"/>
  <c r="G28"/>
  <c r="I28" s="1"/>
  <c r="P28"/>
  <c r="Q28" s="1"/>
  <c r="G29"/>
  <c r="I29" s="1"/>
  <c r="P29"/>
  <c r="Q29" s="1"/>
  <c r="G30"/>
  <c r="I30"/>
  <c r="P30"/>
  <c r="Q30" s="1"/>
  <c r="G32"/>
  <c r="I32" s="1"/>
  <c r="P32"/>
  <c r="Q32" s="1"/>
  <c r="G33"/>
  <c r="I33" s="1"/>
  <c r="P33"/>
  <c r="Q33" s="1"/>
  <c r="G34"/>
  <c r="I34" s="1"/>
  <c r="P34"/>
  <c r="Q34" s="1"/>
  <c r="G36"/>
  <c r="I36" s="1"/>
  <c r="P36"/>
  <c r="Q36" s="1"/>
  <c r="G37"/>
  <c r="I37" s="1"/>
  <c r="P37"/>
  <c r="Q37" s="1"/>
  <c r="G38"/>
  <c r="I38" s="1"/>
  <c r="P38"/>
  <c r="Q38" s="1"/>
  <c r="I18" l="1"/>
  <c r="G18"/>
  <c r="I12"/>
  <c r="Q24"/>
  <c r="Q12"/>
  <c r="G12"/>
  <c r="O20" i="15"/>
  <c r="P20" s="1"/>
  <c r="Q20" s="1"/>
  <c r="P16"/>
  <c r="P17"/>
  <c r="N8"/>
  <c r="Q18"/>
  <c r="Q25" i="17"/>
  <c r="I24"/>
  <c r="G24"/>
  <c r="P12"/>
  <c r="P18"/>
  <c r="Q14"/>
  <c r="Q18" s="1"/>
  <c r="N14" i="15"/>
  <c r="O14" s="1"/>
  <c r="K23" i="3"/>
  <c r="Q15"/>
  <c r="N14"/>
  <c r="O14" s="1"/>
  <c r="G10"/>
  <c r="G30" s="1"/>
  <c r="Q19"/>
  <c r="N12"/>
  <c r="M23"/>
  <c r="O8"/>
  <c r="O10" s="1"/>
  <c r="N10"/>
  <c r="Q20"/>
  <c r="Q16"/>
  <c r="I10"/>
  <c r="I30" s="1"/>
  <c r="K8"/>
  <c r="Q18"/>
  <c r="K12" i="15"/>
  <c r="P15" i="3"/>
  <c r="P13"/>
  <c r="Q13" s="1"/>
  <c r="Q17" i="15"/>
  <c r="P8" i="3"/>
  <c r="P10" s="1"/>
  <c r="Q28" i="15"/>
  <c r="N13"/>
  <c r="O13" s="1"/>
  <c r="M22"/>
  <c r="K8"/>
  <c r="I10"/>
  <c r="G28"/>
  <c r="G29" s="1"/>
  <c r="I16"/>
  <c r="K16" s="1"/>
  <c r="Q16" s="1"/>
  <c r="G22"/>
  <c r="I28"/>
  <c r="N12"/>
  <c r="N15"/>
  <c r="O15" s="1"/>
  <c r="N10"/>
  <c r="O8"/>
  <c r="O10" s="1"/>
  <c r="P15" l="1"/>
  <c r="Q15" s="1"/>
  <c r="P13"/>
  <c r="Q13" s="1"/>
  <c r="P14"/>
  <c r="Q14" s="1"/>
  <c r="K22"/>
  <c r="K10"/>
  <c r="O12" i="3"/>
  <c r="O23" s="1"/>
  <c r="N23"/>
  <c r="P12"/>
  <c r="N22" i="15"/>
  <c r="O12"/>
  <c r="K10" i="3"/>
  <c r="Q8"/>
  <c r="Q10" s="1"/>
  <c r="P8" i="15"/>
  <c r="P10" s="1"/>
  <c r="I22"/>
  <c r="I29" s="1"/>
  <c r="P14" i="3"/>
  <c r="Q14" s="1"/>
  <c r="K30"/>
  <c r="K29" i="15" l="1"/>
  <c r="P23" i="3"/>
  <c r="Q12"/>
  <c r="Q23" s="1"/>
  <c r="O22" i="15"/>
  <c r="P12"/>
  <c r="Q30" i="3"/>
  <c r="Q8" i="15"/>
  <c r="Q10" s="1"/>
  <c r="P22" l="1"/>
  <c r="Q12"/>
  <c r="Q22" s="1"/>
  <c r="Q29" s="1"/>
</calcChain>
</file>

<file path=xl/sharedStrings.xml><?xml version="1.0" encoding="utf-8"?>
<sst xmlns="http://schemas.openxmlformats.org/spreadsheetml/2006/main" count="247" uniqueCount="122">
  <si>
    <t>1.1.2</t>
  </si>
  <si>
    <t>1.1.3</t>
  </si>
  <si>
    <t>1.2.2</t>
  </si>
  <si>
    <t>1.2.3</t>
  </si>
  <si>
    <t>序号</t>
  </si>
  <si>
    <t>产品订货号</t>
  </si>
  <si>
    <t>产品名称</t>
  </si>
  <si>
    <t>产品描述（中文）</t>
  </si>
  <si>
    <t>数量</t>
  </si>
  <si>
    <t>备注</t>
  </si>
  <si>
    <t>a</t>
  </si>
  <si>
    <t>b</t>
  </si>
  <si>
    <t>c=a*b</t>
  </si>
  <si>
    <t>d</t>
  </si>
  <si>
    <t>e=c*(1-d)</t>
  </si>
  <si>
    <r>
      <rPr>
        <b/>
        <u/>
        <sz val="24"/>
        <rFont val="宋体"/>
        <charset val="134"/>
      </rPr>
      <t>中国联通</t>
    </r>
    <r>
      <rPr>
        <b/>
        <u/>
        <sz val="24"/>
        <rFont val="Times New Roman"/>
        <family val="1"/>
      </rPr>
      <t>PC</t>
    </r>
    <r>
      <rPr>
        <b/>
        <u/>
        <sz val="24"/>
        <rFont val="宋体"/>
        <charset val="134"/>
      </rPr>
      <t>服务器（</t>
    </r>
    <r>
      <rPr>
        <b/>
        <u/>
        <sz val="24"/>
        <rFont val="Times New Roman"/>
        <family val="1"/>
      </rPr>
      <t>X86</t>
    </r>
    <r>
      <rPr>
        <b/>
        <u/>
        <sz val="24"/>
        <rFont val="宋体"/>
        <charset val="134"/>
      </rPr>
      <t>）和刀片服务器（</t>
    </r>
    <r>
      <rPr>
        <b/>
        <u/>
        <sz val="24"/>
        <rFont val="Times New Roman"/>
        <family val="1"/>
      </rPr>
      <t>X86</t>
    </r>
    <r>
      <rPr>
        <b/>
        <u/>
        <sz val="24"/>
        <rFont val="宋体"/>
        <charset val="134"/>
      </rPr>
      <t>）典型配置明细报价表</t>
    </r>
    <phoneticPr fontId="1" type="noConversion"/>
  </si>
  <si>
    <r>
      <rPr>
        <b/>
        <u/>
        <sz val="10"/>
        <rFont val="宋体"/>
        <charset val="134"/>
      </rPr>
      <t>投标人名称</t>
    </r>
    <r>
      <rPr>
        <b/>
        <u/>
        <sz val="10"/>
        <rFont val="Times New Roman"/>
        <family val="1"/>
      </rPr>
      <t xml:space="preserve">: </t>
    </r>
    <r>
      <rPr>
        <b/>
        <u/>
        <sz val="10"/>
        <rFont val="宋体"/>
        <charset val="134"/>
      </rPr>
      <t>厂商</t>
    </r>
    <r>
      <rPr>
        <b/>
        <u/>
        <sz val="10"/>
        <rFont val="Times New Roman"/>
        <family val="1"/>
      </rPr>
      <t xml:space="preserve">A                         </t>
    </r>
    <phoneticPr fontId="1" type="noConversion"/>
  </si>
  <si>
    <r>
      <rPr>
        <b/>
        <u/>
        <sz val="10"/>
        <rFont val="宋体"/>
        <charset val="134"/>
      </rPr>
      <t>设备档次：</t>
    </r>
    <r>
      <rPr>
        <b/>
        <u/>
        <sz val="10"/>
        <rFont val="Times New Roman"/>
        <family val="1"/>
      </rPr>
      <t/>
    </r>
    <phoneticPr fontId="1" type="noConversion"/>
  </si>
  <si>
    <r>
      <rPr>
        <b/>
        <u/>
        <sz val="10"/>
        <rFont val="宋体"/>
        <charset val="134"/>
      </rPr>
      <t>设备型号：</t>
    </r>
    <r>
      <rPr>
        <b/>
        <u/>
        <sz val="10"/>
        <rFont val="宋体"/>
        <charset val="134"/>
      </rPr>
      <t>XXX</t>
    </r>
    <phoneticPr fontId="1" type="noConversion"/>
  </si>
  <si>
    <t>目录单价
（￥）</t>
    <phoneticPr fontId="1" type="noConversion"/>
  </si>
  <si>
    <t>目录合价
（￥）</t>
    <phoneticPr fontId="1" type="noConversion"/>
  </si>
  <si>
    <t>折扣率（%）</t>
    <phoneticPr fontId="1" type="noConversion"/>
  </si>
  <si>
    <t>折扣后价格（￥）</t>
    <phoneticPr fontId="1" type="noConversion"/>
  </si>
  <si>
    <t>折扣后现场价（￥）</t>
    <phoneticPr fontId="1" type="noConversion"/>
  </si>
  <si>
    <t>安装服务费（￥）</t>
    <phoneticPr fontId="1" type="noConversion"/>
  </si>
  <si>
    <t>保修期内的服务费</t>
    <phoneticPr fontId="1" type="noConversion"/>
  </si>
  <si>
    <t>合计（￥）</t>
    <phoneticPr fontId="1" type="noConversion"/>
  </si>
  <si>
    <t>A类（7*24小时）（￥）</t>
    <phoneticPr fontId="1" type="noConversion"/>
  </si>
  <si>
    <t>f</t>
    <phoneticPr fontId="1" type="noConversion"/>
  </si>
  <si>
    <t>g=e*(1+f)</t>
    <phoneticPr fontId="1" type="noConversion"/>
  </si>
  <si>
    <t>h</t>
    <phoneticPr fontId="1" type="noConversion"/>
  </si>
  <si>
    <t>第1年保修期费用j1</t>
    <phoneticPr fontId="1" type="noConversion"/>
  </si>
  <si>
    <t>第2年保修期费用j2</t>
    <phoneticPr fontId="1" type="noConversion"/>
  </si>
  <si>
    <t>第3年保修期费用j3</t>
    <phoneticPr fontId="1" type="noConversion"/>
  </si>
  <si>
    <t>j=j1+j2+j3</t>
    <phoneticPr fontId="1" type="noConversion"/>
  </si>
  <si>
    <t>一、实配机型及其指定配件</t>
    <phoneticPr fontId="1" type="noConversion"/>
  </si>
  <si>
    <t>1.1基本配置单元</t>
    <phoneticPr fontId="1" type="noConversion"/>
  </si>
  <si>
    <t>1.1.1</t>
    <phoneticPr fontId="1" type="noConversion"/>
  </si>
  <si>
    <t>…</t>
    <phoneticPr fontId="1" type="noConversion"/>
  </si>
  <si>
    <t>基本配置单元小计</t>
    <phoneticPr fontId="1" type="noConversion"/>
  </si>
  <si>
    <t>1.2同系列通用单元</t>
    <phoneticPr fontId="1" type="noConversion"/>
  </si>
  <si>
    <t>1.2.1</t>
    <phoneticPr fontId="1" type="noConversion"/>
  </si>
  <si>
    <t>同系列通用单元小计</t>
    <phoneticPr fontId="1" type="noConversion"/>
  </si>
  <si>
    <t>1.3全通用单元</t>
    <phoneticPr fontId="1" type="noConversion"/>
  </si>
  <si>
    <t>1.3.1</t>
    <phoneticPr fontId="1" type="noConversion"/>
  </si>
  <si>
    <t>1.3.2</t>
    <phoneticPr fontId="1" type="noConversion"/>
  </si>
  <si>
    <t>1.3.3</t>
    <phoneticPr fontId="1" type="noConversion"/>
  </si>
  <si>
    <t>全通用单元小计</t>
    <phoneticPr fontId="1" type="noConversion"/>
  </si>
  <si>
    <t>二、实配机型可选配件</t>
    <phoneticPr fontId="1" type="noConversion"/>
  </si>
  <si>
    <t>2.1基本配置单元</t>
    <phoneticPr fontId="1" type="noConversion"/>
  </si>
  <si>
    <t>2.1.1</t>
    <phoneticPr fontId="1" type="noConversion"/>
  </si>
  <si>
    <t>2.1.2</t>
    <phoneticPr fontId="1" type="noConversion"/>
  </si>
  <si>
    <t>2.2同系列通用单元</t>
    <phoneticPr fontId="1" type="noConversion"/>
  </si>
  <si>
    <t>2.2.1</t>
    <phoneticPr fontId="1" type="noConversion"/>
  </si>
  <si>
    <t>2.2.2</t>
    <phoneticPr fontId="1" type="noConversion"/>
  </si>
  <si>
    <t>2.3全通用单元</t>
    <phoneticPr fontId="1" type="noConversion"/>
  </si>
  <si>
    <t>2.3.1</t>
    <phoneticPr fontId="1" type="noConversion"/>
  </si>
  <si>
    <t>2.3.2</t>
    <phoneticPr fontId="1" type="noConversion"/>
  </si>
  <si>
    <t>典型配置2-1</t>
    <phoneticPr fontId="1" type="noConversion"/>
  </si>
  <si>
    <t>x=g+h+j</t>
    <phoneticPr fontId="1" type="noConversion"/>
  </si>
  <si>
    <t>运保及其他费率（%）</t>
    <phoneticPr fontId="1" type="noConversion"/>
  </si>
  <si>
    <t>典配总价</t>
    <phoneticPr fontId="1" type="noConversion"/>
  </si>
  <si>
    <t>典型配置7</t>
    <phoneticPr fontId="1" type="noConversion"/>
  </si>
  <si>
    <t>CPU</t>
    <phoneticPr fontId="1" type="noConversion"/>
  </si>
  <si>
    <t>内存</t>
    <phoneticPr fontId="1" type="noConversion"/>
  </si>
  <si>
    <t xml:space="preserve">370-20620 </t>
  </si>
  <si>
    <t xml:space="preserve">400-19264 </t>
  </si>
  <si>
    <t>硬盘</t>
    <phoneticPr fontId="1" type="noConversion"/>
  </si>
  <si>
    <t>300GB 10K RPM SAS 6Gbps 2.5英寸热插拔硬盘</t>
  </si>
  <si>
    <t>600GB 10K RPM SAS 6Gbps 2.5英寸热插拔硬盘</t>
  </si>
  <si>
    <t>540-11099</t>
  </si>
  <si>
    <t>网卡</t>
    <phoneticPr fontId="1" type="noConversion"/>
  </si>
  <si>
    <r>
      <rPr>
        <b/>
        <u/>
        <sz val="10"/>
        <rFont val="宋体"/>
        <charset val="134"/>
      </rPr>
      <t>设备档次：</t>
    </r>
    <r>
      <rPr>
        <b/>
        <u/>
        <sz val="10"/>
        <rFont val="Times New Roman"/>
        <family val="1"/>
      </rPr>
      <t/>
    </r>
    <phoneticPr fontId="1" type="noConversion"/>
  </si>
  <si>
    <t>406-10275</t>
  </si>
  <si>
    <t>Brocade 815, 单端口 8Gb 光纤通道 HBA</t>
  </si>
  <si>
    <t>PERC H710 适配器 RAID 控制器, 512MB NV 高速缓存</t>
  </si>
  <si>
    <t xml:space="preserve">528-10015 </t>
  </si>
  <si>
    <t>iDRAC7 Enterprise</t>
  </si>
  <si>
    <t>HBA卡</t>
    <phoneticPr fontId="1" type="noConversion"/>
  </si>
  <si>
    <t>RAID卡</t>
    <phoneticPr fontId="1" type="noConversion"/>
  </si>
  <si>
    <t>iDRAC卡</t>
    <phoneticPr fontId="1" type="noConversion"/>
  </si>
  <si>
    <t>电源</t>
    <phoneticPr fontId="1" type="noConversion"/>
  </si>
  <si>
    <t>4GB UDIMM, 1333 MHz</t>
    <phoneticPr fontId="1" type="noConversion"/>
  </si>
  <si>
    <t>1.2.4</t>
  </si>
  <si>
    <t>1.2.5</t>
  </si>
  <si>
    <t>429-15877</t>
    <phoneticPr fontId="16" type="noConversion"/>
  </si>
  <si>
    <t>光驱</t>
    <phoneticPr fontId="1" type="noConversion"/>
  </si>
  <si>
    <t>DVD</t>
    <phoneticPr fontId="1" type="noConversion"/>
  </si>
  <si>
    <t>1.2.6</t>
  </si>
  <si>
    <t>1.2.7</t>
  </si>
  <si>
    <r>
      <rPr>
        <b/>
        <u/>
        <sz val="10"/>
        <rFont val="宋体"/>
        <charset val="134"/>
      </rPr>
      <t>投标人名称</t>
    </r>
    <r>
      <rPr>
        <b/>
        <u/>
        <sz val="10"/>
        <rFont val="Times New Roman"/>
        <family val="1"/>
      </rPr>
      <t xml:space="preserve">: </t>
    </r>
    <r>
      <rPr>
        <b/>
        <u/>
        <sz val="10"/>
        <rFont val="宋体"/>
        <charset val="134"/>
      </rPr>
      <t>北京市康讯通讯设备有限公司</t>
    </r>
    <phoneticPr fontId="1" type="noConversion"/>
  </si>
  <si>
    <t>设备型号：R620</t>
    <phoneticPr fontId="1" type="noConversion"/>
  </si>
  <si>
    <t>设备型号：R720</t>
    <phoneticPr fontId="1" type="noConversion"/>
  </si>
  <si>
    <t>374-14511</t>
  </si>
  <si>
    <t>英特尔®至强® E5-2620 (2.00GHz, 15M 高速缓存, 7.2GT/s QPI, Turbo), 6C 95W</t>
  </si>
  <si>
    <t>405-12114</t>
  </si>
  <si>
    <t xml:space="preserve">450-17974 </t>
  </si>
  <si>
    <t xml:space="preserve">450-17978 </t>
    <phoneticPr fontId="16" type="noConversion"/>
  </si>
  <si>
    <t>双个, 热插拔冗余电源 (1+1), 495W</t>
  </si>
  <si>
    <t>双个, 热插拔冗余电源 (1+1), 750W</t>
  </si>
  <si>
    <t>R720</t>
    <phoneticPr fontId="1" type="noConversion"/>
  </si>
  <si>
    <t>服务器</t>
    <phoneticPr fontId="1" type="noConversion"/>
  </si>
  <si>
    <t>包括机箱、主板、面板、接口板、集成显卡、集成4口千兆网卡、16块盘框、管理软件、冗余风扇、随机文档等</t>
    <phoneticPr fontId="1" type="noConversion"/>
  </si>
  <si>
    <t>1.2.8</t>
  </si>
  <si>
    <t>1.2.9</t>
  </si>
  <si>
    <t>导轨</t>
    <phoneticPr fontId="1" type="noConversion"/>
  </si>
  <si>
    <t>770-10991</t>
    <phoneticPr fontId="1" type="noConversion"/>
  </si>
  <si>
    <t>ReadyRails™ 静态导轨 ，用于2/4-柱式机架</t>
    <phoneticPr fontId="1" type="noConversion"/>
  </si>
  <si>
    <t>1.2.10</t>
  </si>
  <si>
    <t>典型配置2</t>
    <phoneticPr fontId="1" type="noConversion"/>
  </si>
  <si>
    <t>R620</t>
    <phoneticPr fontId="1" type="noConversion"/>
  </si>
  <si>
    <t>770-10958</t>
    <phoneticPr fontId="1" type="noConversion"/>
  </si>
  <si>
    <t>4GB UDIMM, 1333 MHz</t>
    <phoneticPr fontId="1" type="noConversion"/>
  </si>
  <si>
    <t>PERC H710 适配器 RAID 控制器, 512MB NV 高速缓存</t>
    <phoneticPr fontId="1" type="noConversion"/>
  </si>
  <si>
    <t>Broadcom 5719 QP 1Gb 网络接口卡（四口）</t>
    <phoneticPr fontId="1" type="noConversion"/>
  </si>
  <si>
    <t>Broadcom 5720 DP 1Gb 网络接口卡（双口）</t>
    <phoneticPr fontId="1" type="noConversion"/>
  </si>
  <si>
    <t>包括机箱、主板、面板、接口板、集成显卡、集成4口千兆网卡、8块盘框、管理软件、双cpu托架、冗余风扇、随机文档等</t>
    <phoneticPr fontId="1" type="noConversion"/>
  </si>
  <si>
    <t>400-20096</t>
    <phoneticPr fontId="1" type="noConversion"/>
  </si>
  <si>
    <t xml:space="preserve">540-11104 </t>
    <phoneticPr fontId="1" type="noConversion"/>
  </si>
  <si>
    <t>406-10275</t>
    <phoneticPr fontId="1" type="noConversion"/>
  </si>
  <si>
    <t>405-12114</t>
    <phoneticPr fontId="1" type="noConversion"/>
  </si>
  <si>
    <t xml:space="preserve">528-10015 </t>
    <phoneticPr fontId="1" type="noConversion"/>
  </si>
</sst>
</file>

<file path=xl/styles.xml><?xml version="1.0" encoding="utf-8"?>
<styleSheet xmlns="http://schemas.openxmlformats.org/spreadsheetml/2006/main">
  <numFmts count="6">
    <numFmt numFmtId="176" formatCode="0_ "/>
    <numFmt numFmtId="177" formatCode="0_);[Red]\(0\)"/>
    <numFmt numFmtId="178" formatCode="&quot;¥&quot;#,##0_);[Red]\(&quot;¥&quot;#,##0\)"/>
    <numFmt numFmtId="179" formatCode="#,##0_);[Red]\(#,##0\)"/>
    <numFmt numFmtId="180" formatCode="#,##0_ "/>
    <numFmt numFmtId="181" formatCode="[$-409]d\-mmm\-yy;@"/>
  </numFmts>
  <fonts count="22"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0"/>
      <name val="Arial"/>
      <family val="2"/>
    </font>
    <font>
      <b/>
      <u/>
      <sz val="24"/>
      <name val="宋体"/>
      <charset val="134"/>
    </font>
    <font>
      <sz val="12"/>
      <name val="Arial"/>
      <family val="2"/>
    </font>
    <font>
      <sz val="24"/>
      <name val="Arial"/>
      <family val="2"/>
    </font>
    <font>
      <sz val="12"/>
      <name val="Times New Roman"/>
      <family val="1"/>
    </font>
    <font>
      <sz val="12"/>
      <name val="宋体"/>
      <charset val="134"/>
    </font>
    <font>
      <b/>
      <u/>
      <sz val="10"/>
      <name val="宋体"/>
      <charset val="134"/>
    </font>
    <font>
      <b/>
      <u/>
      <sz val="24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sz val="9"/>
      <name val="宋体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sz val="12"/>
      <name val="宋体"/>
      <charset val="134"/>
      <scheme val="minor"/>
    </font>
    <font>
      <sz val="10"/>
      <color theme="1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181" fontId="9" fillId="0" borderId="0"/>
    <xf numFmtId="0" fontId="4" fillId="0" borderId="0"/>
    <xf numFmtId="9" fontId="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81" fontId="17" fillId="0" borderId="0"/>
    <xf numFmtId="0" fontId="9" fillId="0" borderId="0"/>
    <xf numFmtId="0" fontId="9" fillId="0" borderId="0"/>
    <xf numFmtId="0" fontId="8" fillId="0" borderId="0"/>
  </cellStyleXfs>
  <cellXfs count="116">
    <xf numFmtId="0" fontId="0" fillId="0" borderId="0" xfId="0"/>
    <xf numFmtId="178" fontId="7" fillId="0" borderId="0" xfId="0" applyNumberFormat="1" applyFont="1" applyFill="1" applyAlignment="1">
      <alignment vertical="center"/>
    </xf>
    <xf numFmtId="178" fontId="4" fillId="0" borderId="0" xfId="0" applyNumberFormat="1" applyFont="1" applyFill="1" applyAlignment="1">
      <alignment vertical="center" wrapText="1"/>
    </xf>
    <xf numFmtId="177" fontId="4" fillId="0" borderId="0" xfId="0" applyNumberFormat="1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9" fontId="4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Alignment="1">
      <alignment vertical="center"/>
    </xf>
    <xf numFmtId="178" fontId="12" fillId="2" borderId="0" xfId="0" applyNumberFormat="1" applyFont="1" applyFill="1" applyAlignment="1">
      <alignment horizontal="left" vertical="center"/>
    </xf>
    <xf numFmtId="178" fontId="13" fillId="2" borderId="0" xfId="0" applyNumberFormat="1" applyFont="1" applyFill="1" applyAlignment="1">
      <alignment horizontal="center" vertical="center" wrapText="1"/>
    </xf>
    <xf numFmtId="178" fontId="13" fillId="3" borderId="0" xfId="0" applyNumberFormat="1" applyFont="1" applyFill="1" applyAlignment="1">
      <alignment horizontal="center" vertical="center"/>
    </xf>
    <xf numFmtId="178" fontId="13" fillId="3" borderId="0" xfId="0" applyNumberFormat="1" applyFont="1" applyFill="1" applyAlignment="1">
      <alignment vertical="center" wrapText="1"/>
    </xf>
    <xf numFmtId="177" fontId="13" fillId="3" borderId="0" xfId="0" applyNumberFormat="1" applyFont="1" applyFill="1" applyAlignment="1">
      <alignment horizontal="center" vertical="center"/>
    </xf>
    <xf numFmtId="9" fontId="12" fillId="3" borderId="0" xfId="0" applyNumberFormat="1" applyFont="1" applyFill="1" applyAlignment="1">
      <alignment horizontal="center" vertical="center"/>
    </xf>
    <xf numFmtId="9" fontId="10" fillId="2" borderId="0" xfId="0" applyNumberFormat="1" applyFont="1" applyFill="1" applyAlignment="1">
      <alignment horizontal="center" vertical="center"/>
    </xf>
    <xf numFmtId="177" fontId="10" fillId="2" borderId="0" xfId="0" applyNumberFormat="1" applyFont="1" applyFill="1" applyAlignment="1">
      <alignment horizontal="left" vertical="center"/>
    </xf>
    <xf numFmtId="177" fontId="13" fillId="2" borderId="0" xfId="0" applyNumberFormat="1" applyFont="1" applyFill="1" applyAlignment="1">
      <alignment horizontal="center" vertical="center"/>
    </xf>
    <xf numFmtId="177" fontId="10" fillId="3" borderId="0" xfId="0" applyNumberFormat="1" applyFont="1" applyFill="1" applyAlignment="1">
      <alignment horizontal="center" vertical="center"/>
    </xf>
    <xf numFmtId="177" fontId="14" fillId="3" borderId="0" xfId="0" applyNumberFormat="1" applyFont="1" applyFill="1" applyAlignment="1">
      <alignment horizontal="center" vertical="center"/>
    </xf>
    <xf numFmtId="178" fontId="12" fillId="3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vertical="center"/>
    </xf>
    <xf numFmtId="178" fontId="18" fillId="2" borderId="0" xfId="0" applyNumberFormat="1" applyFont="1" applyFill="1" applyAlignment="1">
      <alignment vertical="center"/>
    </xf>
    <xf numFmtId="177" fontId="18" fillId="3" borderId="1" xfId="0" applyNumberFormat="1" applyFont="1" applyFill="1" applyBorder="1" applyAlignment="1">
      <alignment horizontal="center" vertical="center" wrapText="1"/>
    </xf>
    <xf numFmtId="9" fontId="18" fillId="3" borderId="1" xfId="0" applyNumberFormat="1" applyFont="1" applyFill="1" applyBorder="1" applyAlignment="1">
      <alignment horizontal="center" vertical="center" wrapText="1"/>
    </xf>
    <xf numFmtId="9" fontId="18" fillId="3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8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left" vertical="center" wrapText="1"/>
    </xf>
    <xf numFmtId="176" fontId="18" fillId="0" borderId="1" xfId="0" applyNumberFormat="1" applyFont="1" applyFill="1" applyBorder="1" applyAlignment="1">
      <alignment horizontal="center" vertical="center" wrapText="1"/>
    </xf>
    <xf numFmtId="179" fontId="18" fillId="0" borderId="1" xfId="0" applyNumberFormat="1" applyFont="1" applyFill="1" applyBorder="1" applyAlignment="1">
      <alignment horizontal="center" vertical="center" wrapText="1"/>
    </xf>
    <xf numFmtId="179" fontId="18" fillId="3" borderId="1" xfId="0" applyNumberFormat="1" applyFont="1" applyFill="1" applyBorder="1" applyAlignment="1">
      <alignment horizontal="center" vertical="center" wrapText="1"/>
    </xf>
    <xf numFmtId="9" fontId="18" fillId="2" borderId="1" xfId="0" applyNumberFormat="1" applyFont="1" applyFill="1" applyBorder="1" applyAlignment="1">
      <alignment horizontal="center" vertical="center" wrapText="1"/>
    </xf>
    <xf numFmtId="180" fontId="18" fillId="3" borderId="1" xfId="0" applyNumberFormat="1" applyFont="1" applyFill="1" applyBorder="1" applyAlignment="1">
      <alignment horizontal="center" vertical="center" wrapText="1"/>
    </xf>
    <xf numFmtId="49" fontId="18" fillId="2" borderId="1" xfId="0" applyNumberFormat="1" applyFont="1" applyFill="1" applyBorder="1" applyAlignment="1">
      <alignment horizontal="center" vertical="center" wrapText="1"/>
    </xf>
    <xf numFmtId="178" fontId="18" fillId="0" borderId="0" xfId="0" applyNumberFormat="1" applyFont="1" applyFill="1" applyAlignment="1">
      <alignment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8" applyFont="1" applyFill="1" applyBorder="1" applyAlignment="1">
      <alignment horizontal="left" vertical="center"/>
    </xf>
    <xf numFmtId="0" fontId="0" fillId="3" borderId="2" xfId="0" applyFont="1" applyFill="1" applyBorder="1" applyAlignment="1"/>
    <xf numFmtId="177" fontId="18" fillId="3" borderId="1" xfId="14" applyNumberFormat="1" applyFont="1" applyFill="1" applyBorder="1" applyAlignment="1">
      <alignment horizontal="center" vertical="center"/>
    </xf>
    <xf numFmtId="180" fontId="18" fillId="3" borderId="1" xfId="0" applyNumberFormat="1" applyFont="1" applyFill="1" applyBorder="1" applyAlignment="1">
      <alignment horizontal="center" vertical="center"/>
    </xf>
    <xf numFmtId="177" fontId="18" fillId="2" borderId="1" xfId="0" applyNumberFormat="1" applyFont="1" applyFill="1" applyBorder="1" applyAlignment="1">
      <alignment horizontal="center" vertical="center" wrapText="1"/>
    </xf>
    <xf numFmtId="179" fontId="18" fillId="2" borderId="1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vertical="center" wrapText="1"/>
    </xf>
    <xf numFmtId="0" fontId="19" fillId="3" borderId="3" xfId="0" applyFont="1" applyFill="1" applyBorder="1" applyAlignment="1">
      <alignment vertical="center" wrapText="1"/>
    </xf>
    <xf numFmtId="0" fontId="19" fillId="3" borderId="4" xfId="0" applyFont="1" applyFill="1" applyBorder="1" applyAlignment="1">
      <alignment vertical="center" wrapText="1"/>
    </xf>
    <xf numFmtId="0" fontId="19" fillId="3" borderId="2" xfId="0" applyFont="1" applyFill="1" applyBorder="1" applyAlignment="1">
      <alignment vertical="center" wrapText="1"/>
    </xf>
    <xf numFmtId="179" fontId="19" fillId="4" borderId="1" xfId="0" applyNumberFormat="1" applyFont="1" applyFill="1" applyBorder="1" applyAlignment="1">
      <alignment horizontal="center" vertical="center" wrapText="1"/>
    </xf>
    <xf numFmtId="180" fontId="19" fillId="3" borderId="2" xfId="10" applyNumberFormat="1" applyFont="1" applyFill="1" applyBorder="1" applyAlignment="1">
      <alignment vertical="center"/>
    </xf>
    <xf numFmtId="178" fontId="18" fillId="2" borderId="0" xfId="0" applyNumberFormat="1" applyFont="1" applyFill="1" applyAlignment="1">
      <alignment vertical="center" wrapText="1"/>
    </xf>
    <xf numFmtId="178" fontId="18" fillId="2" borderId="0" xfId="0" applyNumberFormat="1" applyFont="1" applyFill="1" applyAlignment="1">
      <alignment horizontal="left" vertical="center"/>
    </xf>
    <xf numFmtId="177" fontId="18" fillId="2" borderId="0" xfId="0" applyNumberFormat="1" applyFont="1" applyFill="1" applyAlignment="1">
      <alignment vertical="center"/>
    </xf>
    <xf numFmtId="177" fontId="20" fillId="2" borderId="0" xfId="0" applyNumberFormat="1" applyFont="1" applyFill="1" applyAlignment="1">
      <alignment horizontal="center" vertical="center"/>
    </xf>
    <xf numFmtId="9" fontId="18" fillId="2" borderId="0" xfId="0" applyNumberFormat="1" applyFont="1" applyFill="1" applyAlignment="1">
      <alignment horizontal="center" vertical="center"/>
    </xf>
    <xf numFmtId="178" fontId="20" fillId="2" borderId="0" xfId="0" applyNumberFormat="1" applyFont="1" applyFill="1" applyAlignment="1">
      <alignment vertical="center"/>
    </xf>
    <xf numFmtId="177" fontId="20" fillId="0" borderId="0" xfId="0" applyNumberFormat="1" applyFont="1" applyFill="1" applyAlignment="1">
      <alignment horizontal="center" vertical="center"/>
    </xf>
    <xf numFmtId="9" fontId="18" fillId="0" borderId="0" xfId="0" applyNumberFormat="1" applyFont="1" applyFill="1" applyAlignment="1">
      <alignment horizontal="center" vertical="center"/>
    </xf>
    <xf numFmtId="178" fontId="20" fillId="0" borderId="0" xfId="0" applyNumberFormat="1" applyFont="1" applyFill="1" applyAlignment="1">
      <alignment vertical="center"/>
    </xf>
    <xf numFmtId="178" fontId="18" fillId="0" borderId="0" xfId="0" applyNumberFormat="1" applyFont="1" applyFill="1" applyAlignment="1">
      <alignment vertical="center" wrapText="1"/>
    </xf>
    <xf numFmtId="178" fontId="18" fillId="0" borderId="0" xfId="0" applyNumberFormat="1" applyFont="1" applyFill="1" applyAlignment="1">
      <alignment horizontal="center" vertical="center" wrapText="1"/>
    </xf>
    <xf numFmtId="178" fontId="18" fillId="0" borderId="0" xfId="0" applyNumberFormat="1" applyFont="1" applyFill="1" applyAlignment="1">
      <alignment horizontal="center" vertical="center"/>
    </xf>
    <xf numFmtId="177" fontId="18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 wrapText="1"/>
    </xf>
    <xf numFmtId="178" fontId="4" fillId="0" borderId="0" xfId="0" applyNumberFormat="1" applyFont="1" applyFill="1" applyAlignment="1">
      <alignment horizontal="center" vertical="center"/>
    </xf>
    <xf numFmtId="179" fontId="18" fillId="4" borderId="1" xfId="0" applyNumberFormat="1" applyFont="1" applyFill="1" applyBorder="1" applyAlignment="1">
      <alignment horizontal="center" vertical="center" wrapText="1"/>
    </xf>
    <xf numFmtId="177" fontId="19" fillId="3" borderId="1" xfId="0" applyNumberFormat="1" applyFont="1" applyFill="1" applyBorder="1" applyAlignment="1">
      <alignment horizontal="center" vertical="center" wrapText="1"/>
    </xf>
    <xf numFmtId="180" fontId="18" fillId="0" borderId="1" xfId="0" applyNumberFormat="1" applyFont="1" applyFill="1" applyBorder="1" applyAlignment="1">
      <alignment horizontal="center" vertical="center" wrapText="1"/>
    </xf>
    <xf numFmtId="177" fontId="18" fillId="3" borderId="1" xfId="0" applyNumberFormat="1" applyFont="1" applyFill="1" applyBorder="1" applyAlignment="1">
      <alignment horizontal="center" vertical="center" wrapText="1"/>
    </xf>
    <xf numFmtId="177" fontId="19" fillId="3" borderId="1" xfId="0" applyNumberFormat="1" applyFont="1" applyFill="1" applyBorder="1" applyAlignment="1">
      <alignment horizontal="center" vertical="center" wrapText="1"/>
    </xf>
    <xf numFmtId="9" fontId="18" fillId="3" borderId="1" xfId="0" applyNumberFormat="1" applyFont="1" applyFill="1" applyBorder="1" applyAlignment="1">
      <alignment horizontal="center" vertical="center" wrapText="1"/>
    </xf>
    <xf numFmtId="177" fontId="18" fillId="3" borderId="1" xfId="0" applyNumberFormat="1" applyFont="1" applyFill="1" applyBorder="1" applyAlignment="1">
      <alignment horizontal="center" vertical="center" wrapText="1"/>
    </xf>
    <xf numFmtId="9" fontId="18" fillId="3" borderId="1" xfId="0" applyNumberFormat="1" applyFont="1" applyFill="1" applyBorder="1" applyAlignment="1">
      <alignment horizontal="center" vertical="center" wrapText="1"/>
    </xf>
    <xf numFmtId="177" fontId="19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18" fillId="0" borderId="1" xfId="8" applyFont="1" applyFill="1" applyBorder="1" applyAlignment="1">
      <alignment horizontal="center" vertical="center"/>
    </xf>
    <xf numFmtId="0" fontId="18" fillId="2" borderId="1" xfId="8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79" fontId="12" fillId="3" borderId="0" xfId="0" applyNumberFormat="1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/>
    </xf>
    <xf numFmtId="179" fontId="21" fillId="0" borderId="1" xfId="0" applyNumberFormat="1" applyFont="1" applyBorder="1" applyAlignment="1">
      <alignment horizontal="center" vertical="center"/>
    </xf>
    <xf numFmtId="180" fontId="19" fillId="3" borderId="4" xfId="0" applyNumberFormat="1" applyFont="1" applyFill="1" applyBorder="1" applyAlignment="1">
      <alignment vertical="center" wrapText="1"/>
    </xf>
    <xf numFmtId="181" fontId="21" fillId="0" borderId="1" xfId="11" applyFont="1" applyBorder="1"/>
    <xf numFmtId="181" fontId="21" fillId="0" borderId="1" xfId="1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8" fillId="0" borderId="5" xfId="0" applyFont="1" applyFill="1" applyBorder="1" applyAlignment="1">
      <alignment vertical="center" wrapText="1"/>
    </xf>
    <xf numFmtId="181" fontId="21" fillId="0" borderId="1" xfId="0" applyNumberFormat="1" applyFont="1" applyBorder="1" applyAlignment="1">
      <alignment horizontal="center" vertical="center"/>
    </xf>
    <xf numFmtId="181" fontId="21" fillId="0" borderId="1" xfId="0" applyNumberFormat="1" applyFont="1" applyBorder="1" applyAlignment="1">
      <alignment vertical="center" wrapText="1"/>
    </xf>
    <xf numFmtId="179" fontId="18" fillId="3" borderId="1" xfId="0" applyNumberFormat="1" applyFont="1" applyFill="1" applyBorder="1" applyAlignment="1">
      <alignment horizontal="center" vertical="center" wrapText="1"/>
    </xf>
    <xf numFmtId="179" fontId="18" fillId="3" borderId="1" xfId="0" applyNumberFormat="1" applyFont="1" applyFill="1" applyBorder="1" applyAlignment="1">
      <alignment horizontal="center" vertical="center" wrapText="1"/>
    </xf>
    <xf numFmtId="179" fontId="18" fillId="3" borderId="1" xfId="0" applyNumberFormat="1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/>
    <xf numFmtId="179" fontId="2" fillId="0" borderId="1" xfId="0" applyNumberFormat="1" applyFont="1" applyFill="1" applyBorder="1" applyAlignment="1">
      <alignment horizontal="center"/>
    </xf>
    <xf numFmtId="9" fontId="18" fillId="0" borderId="1" xfId="0" applyNumberFormat="1" applyFont="1" applyFill="1" applyBorder="1" applyAlignment="1">
      <alignment horizontal="center" vertical="center" wrapText="1"/>
    </xf>
    <xf numFmtId="177" fontId="18" fillId="3" borderId="1" xfId="0" applyNumberFormat="1" applyFont="1" applyFill="1" applyBorder="1" applyAlignment="1">
      <alignment horizontal="center" vertical="center" wrapText="1"/>
    </xf>
    <xf numFmtId="9" fontId="18" fillId="3" borderId="3" xfId="0" applyNumberFormat="1" applyFont="1" applyFill="1" applyBorder="1" applyAlignment="1">
      <alignment horizontal="center" vertical="center" wrapText="1"/>
    </xf>
    <xf numFmtId="9" fontId="18" fillId="3" borderId="4" xfId="0" applyNumberFormat="1" applyFont="1" applyFill="1" applyBorder="1" applyAlignment="1">
      <alignment horizontal="center" vertical="center" wrapText="1"/>
    </xf>
    <xf numFmtId="9" fontId="18" fillId="3" borderId="2" xfId="0" applyNumberFormat="1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/>
    </xf>
    <xf numFmtId="0" fontId="19" fillId="3" borderId="4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178" fontId="11" fillId="3" borderId="0" xfId="0" applyNumberFormat="1" applyFont="1" applyFill="1" applyAlignment="1">
      <alignment horizontal="center" vertical="center"/>
    </xf>
    <xf numFmtId="177" fontId="11" fillId="3" borderId="0" xfId="0" applyNumberFormat="1" applyFont="1" applyFill="1" applyAlignment="1">
      <alignment horizontal="center" vertical="center"/>
    </xf>
    <xf numFmtId="9" fontId="11" fillId="3" borderId="0" xfId="0" applyNumberFormat="1" applyFont="1" applyFill="1" applyAlignment="1">
      <alignment horizontal="center" vertical="center"/>
    </xf>
    <xf numFmtId="178" fontId="18" fillId="3" borderId="1" xfId="0" applyNumberFormat="1" applyFont="1" applyFill="1" applyBorder="1" applyAlignment="1">
      <alignment horizontal="center" vertical="center" wrapText="1"/>
    </xf>
    <xf numFmtId="177" fontId="19" fillId="3" borderId="1" xfId="0" applyNumberFormat="1" applyFont="1" applyFill="1" applyBorder="1" applyAlignment="1">
      <alignment horizontal="center" vertical="center" wrapText="1"/>
    </xf>
    <xf numFmtId="178" fontId="18" fillId="3" borderId="5" xfId="0" applyNumberFormat="1" applyFont="1" applyFill="1" applyBorder="1" applyAlignment="1">
      <alignment horizontal="center" vertical="center" wrapText="1"/>
    </xf>
    <xf numFmtId="178" fontId="18" fillId="3" borderId="6" xfId="0" applyNumberFormat="1" applyFont="1" applyFill="1" applyBorder="1" applyAlignment="1">
      <alignment horizontal="center" vertical="center" wrapText="1"/>
    </xf>
    <xf numFmtId="178" fontId="18" fillId="3" borderId="7" xfId="0" applyNumberFormat="1" applyFont="1" applyFill="1" applyBorder="1" applyAlignment="1">
      <alignment horizontal="center" vertical="center" wrapText="1"/>
    </xf>
    <xf numFmtId="9" fontId="18" fillId="3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/>
    </xf>
  </cellXfs>
  <cellStyles count="15">
    <cellStyle name="0,0_x000d__x000a_NA_x000d__x000a_ 2 2" xfId="1"/>
    <cellStyle name="Normal 2 2" xfId="2"/>
    <cellStyle name="Normal 2 2 2" xfId="3"/>
    <cellStyle name="Normal 3 2" xfId="4"/>
    <cellStyle name="Normal 3 2 2" xfId="5"/>
    <cellStyle name="Normal 4" xfId="6"/>
    <cellStyle name="Normal 4 2" xfId="7"/>
    <cellStyle name="Normal_12000_16" xfId="8"/>
    <cellStyle name="Percent 2 2" xfId="9"/>
    <cellStyle name="百分比_典型配置2" xfId="10"/>
    <cellStyle name="常规" xfId="0" builtinId="0"/>
    <cellStyle name="常规 2" xfId="11"/>
    <cellStyle name="常规 2 2" xfId="12"/>
    <cellStyle name="常规 3" xfId="13"/>
    <cellStyle name="常规_思科配置模版" xfId="1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zoomScale="85" zoomScaleNormal="85" workbookViewId="0">
      <selection activeCell="D35" sqref="D35"/>
    </sheetView>
  </sheetViews>
  <sheetFormatPr defaultRowHeight="15"/>
  <cols>
    <col min="1" max="1" width="8.125" style="6" customWidth="1"/>
    <col min="2" max="2" width="9.875" style="60" bestFit="1" customWidth="1"/>
    <col min="3" max="3" width="8.25" style="61" bestFit="1" customWidth="1"/>
    <col min="4" max="4" width="74.5" style="2" bestFit="1" customWidth="1"/>
    <col min="5" max="5" width="5.125" style="3" bestFit="1" customWidth="1"/>
    <col min="6" max="6" width="10.75" style="3" bestFit="1" customWidth="1"/>
    <col min="7" max="7" width="12.625" style="4" bestFit="1" customWidth="1"/>
    <col min="8" max="8" width="10.25" style="5" bestFit="1" customWidth="1"/>
    <col min="9" max="10" width="9.875" style="4" customWidth="1"/>
    <col min="11" max="11" width="11.5" style="4" customWidth="1"/>
    <col min="12" max="12" width="8.125" style="4" customWidth="1"/>
    <col min="13" max="16" width="15.625" style="4" customWidth="1"/>
    <col min="17" max="17" width="13.125" style="4" customWidth="1"/>
    <col min="18" max="18" width="9.625" style="6" customWidth="1"/>
    <col min="19" max="16384" width="9" style="6"/>
  </cols>
  <sheetData>
    <row r="1" spans="1:18" s="1" customFormat="1" ht="31.5">
      <c r="A1" s="106" t="s">
        <v>15</v>
      </c>
      <c r="B1" s="106"/>
      <c r="C1" s="106"/>
      <c r="D1" s="106"/>
      <c r="E1" s="107"/>
      <c r="F1" s="107"/>
      <c r="G1" s="107"/>
      <c r="H1" s="108"/>
      <c r="I1" s="107"/>
      <c r="J1" s="107"/>
      <c r="K1" s="107"/>
      <c r="L1" s="107"/>
      <c r="M1" s="107"/>
      <c r="N1" s="107"/>
      <c r="O1" s="107"/>
      <c r="P1" s="107"/>
      <c r="Q1" s="107"/>
      <c r="R1" s="106"/>
    </row>
    <row r="2" spans="1:18" s="19" customFormat="1" ht="25.5" customHeight="1">
      <c r="A2" s="7" t="s">
        <v>90</v>
      </c>
      <c r="B2" s="8"/>
      <c r="C2" s="9"/>
      <c r="D2" s="10"/>
      <c r="E2" s="11"/>
      <c r="F2" s="77" t="s">
        <v>72</v>
      </c>
      <c r="G2" s="13" t="s">
        <v>109</v>
      </c>
      <c r="H2" s="12"/>
      <c r="I2" s="14" t="s">
        <v>91</v>
      </c>
      <c r="J2" s="15"/>
      <c r="K2" s="11"/>
      <c r="L2" s="11"/>
      <c r="M2" s="16"/>
      <c r="N2" s="16"/>
      <c r="O2" s="16"/>
      <c r="P2" s="16"/>
      <c r="Q2" s="17"/>
      <c r="R2" s="18"/>
    </row>
    <row r="3" spans="1:18" s="20" customFormat="1" ht="12.75" customHeight="1">
      <c r="A3" s="109" t="s">
        <v>4</v>
      </c>
      <c r="B3" s="109" t="s">
        <v>5</v>
      </c>
      <c r="C3" s="109" t="s">
        <v>6</v>
      </c>
      <c r="D3" s="109" t="s">
        <v>7</v>
      </c>
      <c r="E3" s="94" t="s">
        <v>8</v>
      </c>
      <c r="F3" s="94" t="s">
        <v>19</v>
      </c>
      <c r="G3" s="94" t="s">
        <v>20</v>
      </c>
      <c r="H3" s="114" t="s">
        <v>21</v>
      </c>
      <c r="I3" s="94" t="s">
        <v>22</v>
      </c>
      <c r="J3" s="94" t="s">
        <v>60</v>
      </c>
      <c r="K3" s="94" t="s">
        <v>23</v>
      </c>
      <c r="L3" s="94" t="s">
        <v>24</v>
      </c>
      <c r="M3" s="95" t="s">
        <v>25</v>
      </c>
      <c r="N3" s="96"/>
      <c r="O3" s="96"/>
      <c r="P3" s="97"/>
      <c r="Q3" s="110" t="s">
        <v>26</v>
      </c>
      <c r="R3" s="111" t="s">
        <v>9</v>
      </c>
    </row>
    <row r="4" spans="1:18" s="20" customFormat="1" ht="27.75" customHeight="1">
      <c r="A4" s="109"/>
      <c r="B4" s="109"/>
      <c r="C4" s="109"/>
      <c r="D4" s="109"/>
      <c r="E4" s="94"/>
      <c r="F4" s="94"/>
      <c r="G4" s="94"/>
      <c r="H4" s="114"/>
      <c r="I4" s="94"/>
      <c r="J4" s="94"/>
      <c r="K4" s="94"/>
      <c r="L4" s="94"/>
      <c r="M4" s="95" t="s">
        <v>27</v>
      </c>
      <c r="N4" s="96"/>
      <c r="O4" s="96"/>
      <c r="P4" s="97"/>
      <c r="Q4" s="110"/>
      <c r="R4" s="112"/>
    </row>
    <row r="5" spans="1:18" s="20" customFormat="1" ht="14.25" customHeight="1">
      <c r="A5" s="109"/>
      <c r="B5" s="109"/>
      <c r="C5" s="109"/>
      <c r="D5" s="109"/>
      <c r="E5" s="68" t="s">
        <v>10</v>
      </c>
      <c r="F5" s="68" t="s">
        <v>11</v>
      </c>
      <c r="G5" s="68" t="s">
        <v>12</v>
      </c>
      <c r="H5" s="69" t="s">
        <v>13</v>
      </c>
      <c r="I5" s="68" t="s">
        <v>14</v>
      </c>
      <c r="J5" s="68" t="s">
        <v>28</v>
      </c>
      <c r="K5" s="68" t="s">
        <v>29</v>
      </c>
      <c r="L5" s="68" t="s">
        <v>30</v>
      </c>
      <c r="M5" s="23" t="s">
        <v>31</v>
      </c>
      <c r="N5" s="23" t="s">
        <v>32</v>
      </c>
      <c r="O5" s="23" t="s">
        <v>33</v>
      </c>
      <c r="P5" s="23" t="s">
        <v>34</v>
      </c>
      <c r="Q5" s="70" t="s">
        <v>59</v>
      </c>
      <c r="R5" s="113"/>
    </row>
    <row r="6" spans="1:18" s="20" customFormat="1" ht="12">
      <c r="A6" s="98" t="s">
        <v>35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100"/>
    </row>
    <row r="7" spans="1:18" s="20" customFormat="1" ht="12">
      <c r="A7" s="98" t="s">
        <v>36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100"/>
    </row>
    <row r="8" spans="1:18" s="20" customFormat="1" ht="24">
      <c r="A8" s="34" t="s">
        <v>37</v>
      </c>
      <c r="B8" s="74" t="s">
        <v>110</v>
      </c>
      <c r="C8" s="32" t="s">
        <v>101</v>
      </c>
      <c r="D8" s="84" t="s">
        <v>116</v>
      </c>
      <c r="E8" s="27">
        <v>1</v>
      </c>
      <c r="F8" s="28">
        <v>66000</v>
      </c>
      <c r="G8" s="29">
        <f>IF(OR($E8="",$F8="")=TRUE,"",E8*F8)</f>
        <v>66000</v>
      </c>
      <c r="H8" s="30">
        <v>0.86</v>
      </c>
      <c r="I8" s="29">
        <f>IF(G8="","",G8*(1-H8))</f>
        <v>9240</v>
      </c>
      <c r="J8" s="30">
        <v>0.01</v>
      </c>
      <c r="K8" s="88">
        <f>I8*(1+J8)</f>
        <v>9332.4</v>
      </c>
      <c r="L8" s="28">
        <v>0</v>
      </c>
      <c r="M8" s="64">
        <f>E8</f>
        <v>1</v>
      </c>
      <c r="N8" s="64">
        <f>M8</f>
        <v>1</v>
      </c>
      <c r="O8" s="64">
        <f>N8</f>
        <v>1</v>
      </c>
      <c r="P8" s="31">
        <f>SUM(M8:O8)</f>
        <v>3</v>
      </c>
      <c r="Q8" s="29">
        <f>K8+L8+P8</f>
        <v>9335.4</v>
      </c>
      <c r="R8" s="32"/>
    </row>
    <row r="9" spans="1:18" s="20" customFormat="1" ht="12">
      <c r="A9" s="34" t="s">
        <v>38</v>
      </c>
      <c r="B9" s="75"/>
      <c r="C9" s="26"/>
      <c r="D9" s="26"/>
      <c r="E9" s="27"/>
      <c r="F9" s="28"/>
      <c r="G9" s="29" t="str">
        <f>IF(OR($E9="",$F9="")=TRUE,"",E9*F9)</f>
        <v/>
      </c>
      <c r="H9" s="30"/>
      <c r="I9" s="29" t="str">
        <f>IF(G9="","",G9*(1-H9))</f>
        <v/>
      </c>
      <c r="J9" s="30"/>
      <c r="K9" s="29"/>
      <c r="L9" s="28"/>
      <c r="M9" s="64"/>
      <c r="N9" s="64"/>
      <c r="O9" s="64"/>
      <c r="P9" s="31">
        <f>SUM(M9:O9)</f>
        <v>0</v>
      </c>
      <c r="Q9" s="29">
        <f>K9+L9+P9</f>
        <v>0</v>
      </c>
      <c r="R9" s="32"/>
    </row>
    <row r="10" spans="1:18" s="20" customFormat="1" ht="15" customHeight="1">
      <c r="A10" s="101" t="s">
        <v>39</v>
      </c>
      <c r="B10" s="115"/>
      <c r="C10" s="115"/>
      <c r="D10" s="115"/>
      <c r="E10" s="36"/>
      <c r="F10" s="37"/>
      <c r="G10" s="31">
        <f>SUM(G8:G9)</f>
        <v>66000</v>
      </c>
      <c r="H10" s="38"/>
      <c r="I10" s="31">
        <f>SUM(I8:I9)</f>
        <v>9240</v>
      </c>
      <c r="J10" s="31"/>
      <c r="K10" s="31">
        <f t="shared" ref="K10:Q10" si="0">SUM(K8:K9)</f>
        <v>9332.4</v>
      </c>
      <c r="L10" s="31">
        <f t="shared" si="0"/>
        <v>0</v>
      </c>
      <c r="M10" s="31">
        <f t="shared" si="0"/>
        <v>1</v>
      </c>
      <c r="N10" s="31">
        <f t="shared" si="0"/>
        <v>1</v>
      </c>
      <c r="O10" s="31">
        <f t="shared" si="0"/>
        <v>1</v>
      </c>
      <c r="P10" s="31">
        <f t="shared" si="0"/>
        <v>3</v>
      </c>
      <c r="Q10" s="62">
        <f t="shared" si="0"/>
        <v>9335.4</v>
      </c>
      <c r="R10" s="39"/>
    </row>
    <row r="11" spans="1:18" s="20" customFormat="1" ht="12">
      <c r="A11" s="98" t="s">
        <v>40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100"/>
    </row>
    <row r="12" spans="1:18" s="20" customFormat="1" ht="12">
      <c r="A12" s="34" t="s">
        <v>41</v>
      </c>
      <c r="B12" s="82" t="s">
        <v>93</v>
      </c>
      <c r="C12" s="32" t="s">
        <v>63</v>
      </c>
      <c r="D12" s="81" t="s">
        <v>94</v>
      </c>
      <c r="E12" s="27">
        <v>2</v>
      </c>
      <c r="F12" s="40">
        <v>27927.899999999998</v>
      </c>
      <c r="G12" s="29">
        <f t="shared" ref="G12:G21" si="1">IF(OR($E12="",$F12="")=TRUE,"",E12*F12)</f>
        <v>55855.799999999996</v>
      </c>
      <c r="H12" s="30">
        <v>0.99</v>
      </c>
      <c r="I12" s="29">
        <f t="shared" ref="I12:I21" si="2">IF(G12="","",G12*(1-H12))</f>
        <v>558.55800000000045</v>
      </c>
      <c r="J12" s="30">
        <v>0.01</v>
      </c>
      <c r="K12" s="88">
        <f t="shared" ref="K12:K20" si="3">I12*(1+J12)</f>
        <v>564.1435800000005</v>
      </c>
      <c r="L12" s="28">
        <v>0</v>
      </c>
      <c r="M12" s="64">
        <f t="shared" ref="M12:M20" si="4">E12</f>
        <v>2</v>
      </c>
      <c r="N12" s="64">
        <f t="shared" ref="N12:O20" si="5">M12</f>
        <v>2</v>
      </c>
      <c r="O12" s="64">
        <f t="shared" si="5"/>
        <v>2</v>
      </c>
      <c r="P12" s="31">
        <f t="shared" ref="P12:P21" si="6">SUM(M12:O12)</f>
        <v>6</v>
      </c>
      <c r="Q12" s="29">
        <f t="shared" ref="Q12:Q21" si="7">K12+L12+P12</f>
        <v>570.1435800000005</v>
      </c>
      <c r="R12" s="32"/>
    </row>
    <row r="13" spans="1:18" s="20" customFormat="1" ht="12">
      <c r="A13" s="34" t="s">
        <v>2</v>
      </c>
      <c r="B13" s="76" t="s">
        <v>65</v>
      </c>
      <c r="C13" s="32" t="s">
        <v>64</v>
      </c>
      <c r="D13" s="73" t="s">
        <v>82</v>
      </c>
      <c r="E13" s="27">
        <v>12</v>
      </c>
      <c r="F13" s="78">
        <v>3006.8999999999996</v>
      </c>
      <c r="G13" s="29">
        <f t="shared" si="1"/>
        <v>36082.799999999996</v>
      </c>
      <c r="H13" s="30">
        <v>0.9</v>
      </c>
      <c r="I13" s="29">
        <f t="shared" si="2"/>
        <v>3608.2799999999988</v>
      </c>
      <c r="J13" s="30">
        <v>0.01</v>
      </c>
      <c r="K13" s="88">
        <f t="shared" si="3"/>
        <v>3644.362799999999</v>
      </c>
      <c r="L13" s="28">
        <v>0</v>
      </c>
      <c r="M13" s="64">
        <f t="shared" si="4"/>
        <v>12</v>
      </c>
      <c r="N13" s="64">
        <f t="shared" si="5"/>
        <v>12</v>
      </c>
      <c r="O13" s="64">
        <f t="shared" si="5"/>
        <v>12</v>
      </c>
      <c r="P13" s="31">
        <f t="shared" si="6"/>
        <v>36</v>
      </c>
      <c r="Q13" s="29">
        <f t="shared" si="7"/>
        <v>3680.362799999999</v>
      </c>
      <c r="R13" s="32"/>
    </row>
    <row r="14" spans="1:18" s="20" customFormat="1" ht="12">
      <c r="A14" s="34" t="s">
        <v>3</v>
      </c>
      <c r="B14" s="76" t="s">
        <v>66</v>
      </c>
      <c r="C14" s="32" t="s">
        <v>67</v>
      </c>
      <c r="D14" s="26" t="s">
        <v>68</v>
      </c>
      <c r="E14" s="27">
        <v>2</v>
      </c>
      <c r="F14" s="40">
        <v>7289.0999999999995</v>
      </c>
      <c r="G14" s="29">
        <f t="shared" si="1"/>
        <v>14578.199999999999</v>
      </c>
      <c r="H14" s="30">
        <v>0.99</v>
      </c>
      <c r="I14" s="29">
        <f t="shared" si="2"/>
        <v>145.78200000000012</v>
      </c>
      <c r="J14" s="30">
        <v>0.01</v>
      </c>
      <c r="K14" s="88">
        <f t="shared" si="3"/>
        <v>147.23982000000012</v>
      </c>
      <c r="L14" s="28">
        <v>0</v>
      </c>
      <c r="M14" s="64">
        <f t="shared" si="4"/>
        <v>2</v>
      </c>
      <c r="N14" s="64">
        <f t="shared" si="5"/>
        <v>2</v>
      </c>
      <c r="O14" s="64">
        <f t="shared" si="5"/>
        <v>2</v>
      </c>
      <c r="P14" s="31">
        <f t="shared" si="6"/>
        <v>6</v>
      </c>
      <c r="Q14" s="29">
        <f t="shared" si="7"/>
        <v>153.23982000000012</v>
      </c>
      <c r="R14" s="32"/>
    </row>
    <row r="15" spans="1:18" s="20" customFormat="1" ht="12">
      <c r="A15" s="34" t="s">
        <v>83</v>
      </c>
      <c r="B15" s="76" t="s">
        <v>95</v>
      </c>
      <c r="C15" s="76" t="s">
        <v>79</v>
      </c>
      <c r="D15" s="73" t="s">
        <v>75</v>
      </c>
      <c r="E15" s="27">
        <v>1</v>
      </c>
      <c r="F15" s="79">
        <v>13302.9</v>
      </c>
      <c r="G15" s="29">
        <f t="shared" si="1"/>
        <v>13302.9</v>
      </c>
      <c r="H15" s="30">
        <v>0.99</v>
      </c>
      <c r="I15" s="29">
        <f t="shared" si="2"/>
        <v>133.02900000000011</v>
      </c>
      <c r="J15" s="30">
        <v>0.01</v>
      </c>
      <c r="K15" s="88">
        <f t="shared" si="3"/>
        <v>134.3592900000001</v>
      </c>
      <c r="L15" s="28">
        <v>0</v>
      </c>
      <c r="M15" s="64">
        <f t="shared" si="4"/>
        <v>1</v>
      </c>
      <c r="N15" s="64">
        <f t="shared" si="5"/>
        <v>1</v>
      </c>
      <c r="O15" s="64">
        <f t="shared" si="5"/>
        <v>1</v>
      </c>
      <c r="P15" s="31">
        <f t="shared" si="6"/>
        <v>3</v>
      </c>
      <c r="Q15" s="29">
        <f t="shared" si="7"/>
        <v>137.3592900000001</v>
      </c>
      <c r="R15" s="32"/>
    </row>
    <row r="16" spans="1:18" s="20" customFormat="1" ht="12">
      <c r="A16" s="34" t="s">
        <v>84</v>
      </c>
      <c r="B16" s="76" t="s">
        <v>73</v>
      </c>
      <c r="C16" s="76" t="s">
        <v>78</v>
      </c>
      <c r="D16" s="73" t="s">
        <v>74</v>
      </c>
      <c r="E16" s="27">
        <f>2*E8</f>
        <v>2</v>
      </c>
      <c r="F16" s="79">
        <v>20112.799999999996</v>
      </c>
      <c r="G16" s="87">
        <f t="shared" si="1"/>
        <v>40225.599999999991</v>
      </c>
      <c r="H16" s="30">
        <v>0.99</v>
      </c>
      <c r="I16" s="87">
        <f t="shared" si="2"/>
        <v>402.25600000000026</v>
      </c>
      <c r="J16" s="30">
        <v>0.01</v>
      </c>
      <c r="K16" s="88">
        <f t="shared" si="3"/>
        <v>406.27856000000025</v>
      </c>
      <c r="L16" s="28">
        <v>0</v>
      </c>
      <c r="M16" s="64">
        <f t="shared" si="4"/>
        <v>2</v>
      </c>
      <c r="N16" s="64">
        <f t="shared" si="5"/>
        <v>2</v>
      </c>
      <c r="O16" s="64">
        <f t="shared" si="5"/>
        <v>2</v>
      </c>
      <c r="P16" s="31">
        <f t="shared" si="6"/>
        <v>6</v>
      </c>
      <c r="Q16" s="87">
        <f t="shared" si="7"/>
        <v>412.27856000000025</v>
      </c>
      <c r="R16" s="32"/>
    </row>
    <row r="17" spans="1:18" s="20" customFormat="1" ht="12">
      <c r="A17" s="34" t="s">
        <v>88</v>
      </c>
      <c r="B17" s="76" t="s">
        <v>76</v>
      </c>
      <c r="C17" s="76" t="s">
        <v>80</v>
      </c>
      <c r="D17" s="73" t="s">
        <v>77</v>
      </c>
      <c r="E17" s="27">
        <v>1</v>
      </c>
      <c r="F17" s="79">
        <v>1579.4999999999998</v>
      </c>
      <c r="G17" s="29">
        <f t="shared" si="1"/>
        <v>1579.4999999999998</v>
      </c>
      <c r="H17" s="30">
        <v>0.99</v>
      </c>
      <c r="I17" s="29">
        <f t="shared" si="2"/>
        <v>15.795000000000012</v>
      </c>
      <c r="J17" s="30">
        <v>0.01</v>
      </c>
      <c r="K17" s="88">
        <f t="shared" si="3"/>
        <v>15.952950000000012</v>
      </c>
      <c r="L17" s="28">
        <v>0</v>
      </c>
      <c r="M17" s="64">
        <f t="shared" si="4"/>
        <v>1</v>
      </c>
      <c r="N17" s="64">
        <f t="shared" si="5"/>
        <v>1</v>
      </c>
      <c r="O17" s="64">
        <f t="shared" si="5"/>
        <v>1</v>
      </c>
      <c r="P17" s="31">
        <f t="shared" si="6"/>
        <v>3</v>
      </c>
      <c r="Q17" s="29">
        <f t="shared" si="7"/>
        <v>18.952950000000012</v>
      </c>
      <c r="R17" s="32"/>
    </row>
    <row r="18" spans="1:18" s="20" customFormat="1" ht="12">
      <c r="A18" s="34" t="s">
        <v>89</v>
      </c>
      <c r="B18" s="71" t="s">
        <v>85</v>
      </c>
      <c r="C18" s="32" t="s">
        <v>86</v>
      </c>
      <c r="D18" s="26" t="s">
        <v>87</v>
      </c>
      <c r="E18" s="27">
        <v>1</v>
      </c>
      <c r="F18" s="40">
        <v>1200</v>
      </c>
      <c r="G18" s="29">
        <f t="shared" si="1"/>
        <v>1200</v>
      </c>
      <c r="H18" s="30">
        <v>0.99</v>
      </c>
      <c r="I18" s="29">
        <f t="shared" si="2"/>
        <v>12.000000000000011</v>
      </c>
      <c r="J18" s="30">
        <v>0.01</v>
      </c>
      <c r="K18" s="88">
        <f t="shared" si="3"/>
        <v>12.120000000000012</v>
      </c>
      <c r="L18" s="28">
        <v>0</v>
      </c>
      <c r="M18" s="64">
        <f t="shared" si="4"/>
        <v>1</v>
      </c>
      <c r="N18" s="64">
        <f t="shared" si="5"/>
        <v>1</v>
      </c>
      <c r="O18" s="64">
        <f t="shared" si="5"/>
        <v>1</v>
      </c>
      <c r="P18" s="31">
        <f t="shared" si="6"/>
        <v>3</v>
      </c>
      <c r="Q18" s="29">
        <f t="shared" si="7"/>
        <v>15.120000000000012</v>
      </c>
      <c r="R18" s="32"/>
    </row>
    <row r="19" spans="1:18" s="20" customFormat="1" ht="12">
      <c r="A19" s="34" t="s">
        <v>103</v>
      </c>
      <c r="B19" s="83" t="s">
        <v>96</v>
      </c>
      <c r="C19" s="76" t="s">
        <v>81</v>
      </c>
      <c r="D19" s="73" t="s">
        <v>98</v>
      </c>
      <c r="E19" s="27">
        <v>1</v>
      </c>
      <c r="F19" s="79">
        <v>11664.9</v>
      </c>
      <c r="G19" s="29">
        <f t="shared" si="1"/>
        <v>11664.9</v>
      </c>
      <c r="H19" s="30">
        <v>0.99</v>
      </c>
      <c r="I19" s="29">
        <f t="shared" si="2"/>
        <v>116.6490000000001</v>
      </c>
      <c r="J19" s="30">
        <v>0.01</v>
      </c>
      <c r="K19" s="88">
        <f t="shared" si="3"/>
        <v>117.8154900000001</v>
      </c>
      <c r="L19" s="28">
        <v>0</v>
      </c>
      <c r="M19" s="64">
        <f t="shared" si="4"/>
        <v>1</v>
      </c>
      <c r="N19" s="64">
        <f t="shared" si="5"/>
        <v>1</v>
      </c>
      <c r="O19" s="64">
        <f t="shared" si="5"/>
        <v>1</v>
      </c>
      <c r="P19" s="31">
        <f t="shared" si="6"/>
        <v>3</v>
      </c>
      <c r="Q19" s="29">
        <f t="shared" si="7"/>
        <v>120.8154900000001</v>
      </c>
      <c r="R19" s="32"/>
    </row>
    <row r="20" spans="1:18" s="20" customFormat="1" ht="12">
      <c r="A20" s="34" t="s">
        <v>104</v>
      </c>
      <c r="B20" s="85" t="s">
        <v>111</v>
      </c>
      <c r="C20" s="85" t="s">
        <v>105</v>
      </c>
      <c r="D20" s="86" t="s">
        <v>107</v>
      </c>
      <c r="E20" s="27">
        <v>1</v>
      </c>
      <c r="F20" s="40">
        <v>1685.385</v>
      </c>
      <c r="G20" s="29">
        <f t="shared" si="1"/>
        <v>1685.385</v>
      </c>
      <c r="H20" s="30">
        <v>0.99</v>
      </c>
      <c r="I20" s="29">
        <f t="shared" si="2"/>
        <v>16.853850000000016</v>
      </c>
      <c r="J20" s="30">
        <v>0.01</v>
      </c>
      <c r="K20" s="88">
        <f t="shared" si="3"/>
        <v>17.022388500000016</v>
      </c>
      <c r="L20" s="28">
        <v>0</v>
      </c>
      <c r="M20" s="64">
        <f t="shared" si="4"/>
        <v>1</v>
      </c>
      <c r="N20" s="64">
        <f t="shared" si="5"/>
        <v>1</v>
      </c>
      <c r="O20" s="64">
        <f t="shared" si="5"/>
        <v>1</v>
      </c>
      <c r="P20" s="31">
        <f t="shared" si="6"/>
        <v>3</v>
      </c>
      <c r="Q20" s="29">
        <f t="shared" si="7"/>
        <v>20.022388500000016</v>
      </c>
      <c r="R20" s="32"/>
    </row>
    <row r="21" spans="1:18" s="20" customFormat="1" ht="12">
      <c r="A21" s="34" t="s">
        <v>38</v>
      </c>
      <c r="B21" s="75"/>
      <c r="C21" s="26"/>
      <c r="D21" s="26"/>
      <c r="E21" s="27"/>
      <c r="F21" s="28"/>
      <c r="G21" s="29" t="str">
        <f t="shared" si="1"/>
        <v/>
      </c>
      <c r="H21" s="30"/>
      <c r="I21" s="29" t="str">
        <f t="shared" si="2"/>
        <v/>
      </c>
      <c r="J21" s="30"/>
      <c r="K21" s="29"/>
      <c r="L21" s="28"/>
      <c r="M21" s="64"/>
      <c r="N21" s="64"/>
      <c r="O21" s="64"/>
      <c r="P21" s="31">
        <f t="shared" si="6"/>
        <v>0</v>
      </c>
      <c r="Q21" s="29">
        <f t="shared" si="7"/>
        <v>0</v>
      </c>
      <c r="R21" s="32"/>
    </row>
    <row r="22" spans="1:18" s="20" customFormat="1" ht="15" customHeight="1">
      <c r="A22" s="101" t="s">
        <v>42</v>
      </c>
      <c r="B22" s="102"/>
      <c r="C22" s="102"/>
      <c r="D22" s="102"/>
      <c r="E22" s="36"/>
      <c r="F22" s="37"/>
      <c r="G22" s="31">
        <f>SUM(G12:G21)</f>
        <v>176175.08499999999</v>
      </c>
      <c r="H22" s="38"/>
      <c r="I22" s="31">
        <f>SUM(I12:I21)</f>
        <v>5009.2028500000015</v>
      </c>
      <c r="J22" s="31"/>
      <c r="K22" s="31">
        <f t="shared" ref="K22:Q22" si="8">SUM(K12:K21)</f>
        <v>5059.2948784999999</v>
      </c>
      <c r="L22" s="31">
        <f t="shared" si="8"/>
        <v>0</v>
      </c>
      <c r="M22" s="31">
        <f t="shared" si="8"/>
        <v>23</v>
      </c>
      <c r="N22" s="31">
        <f t="shared" si="8"/>
        <v>23</v>
      </c>
      <c r="O22" s="31">
        <f t="shared" si="8"/>
        <v>23</v>
      </c>
      <c r="P22" s="31">
        <f t="shared" si="8"/>
        <v>69</v>
      </c>
      <c r="Q22" s="62">
        <f t="shared" si="8"/>
        <v>5128.2948784999999</v>
      </c>
      <c r="R22" s="39"/>
    </row>
    <row r="23" spans="1:18" s="20" customFormat="1" ht="12">
      <c r="A23" s="98" t="s">
        <v>43</v>
      </c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100"/>
    </row>
    <row r="24" spans="1:18" s="20" customFormat="1" ht="12">
      <c r="A24" s="34" t="s">
        <v>44</v>
      </c>
      <c r="B24" s="74"/>
      <c r="C24" s="26"/>
      <c r="D24" s="26"/>
      <c r="E24" s="27"/>
      <c r="F24" s="40"/>
      <c r="G24" s="29" t="str">
        <f>IF(OR($E24="",$F24="")=TRUE,"",E24*F24)</f>
        <v/>
      </c>
      <c r="H24" s="30"/>
      <c r="I24" s="29" t="str">
        <f>IF(G24="","",G24*(1-H24))</f>
        <v/>
      </c>
      <c r="J24" s="30"/>
      <c r="K24" s="29"/>
      <c r="L24" s="28"/>
      <c r="M24" s="64"/>
      <c r="N24" s="64"/>
      <c r="O24" s="64"/>
      <c r="P24" s="31">
        <f>SUM(M24:O24)</f>
        <v>0</v>
      </c>
      <c r="Q24" s="29">
        <f>K24+L24+P24</f>
        <v>0</v>
      </c>
      <c r="R24" s="32"/>
    </row>
    <row r="25" spans="1:18" s="20" customFormat="1" ht="12">
      <c r="A25" s="34" t="s">
        <v>45</v>
      </c>
      <c r="B25" s="74"/>
      <c r="C25" s="26"/>
      <c r="D25" s="26"/>
      <c r="E25" s="27"/>
      <c r="F25" s="40"/>
      <c r="G25" s="29" t="str">
        <f>IF(OR($E25="",$F25="")=TRUE,"",E25*F25)</f>
        <v/>
      </c>
      <c r="H25" s="30"/>
      <c r="I25" s="29" t="str">
        <f>IF(G25="","",G25*(1-H25))</f>
        <v/>
      </c>
      <c r="J25" s="30"/>
      <c r="K25" s="29"/>
      <c r="L25" s="28"/>
      <c r="M25" s="64"/>
      <c r="N25" s="64"/>
      <c r="O25" s="64"/>
      <c r="P25" s="31">
        <f>SUM(M25:O25)</f>
        <v>0</v>
      </c>
      <c r="Q25" s="29">
        <f>K25+L25+P25</f>
        <v>0</v>
      </c>
      <c r="R25" s="32"/>
    </row>
    <row r="26" spans="1:18" s="20" customFormat="1" ht="12">
      <c r="A26" s="34" t="s">
        <v>46</v>
      </c>
      <c r="B26" s="74"/>
      <c r="C26" s="26"/>
      <c r="D26" s="26"/>
      <c r="E26" s="27"/>
      <c r="F26" s="40"/>
      <c r="G26" s="29" t="str">
        <f>IF(OR($E26="",$F26="")=TRUE,"",E26*F26)</f>
        <v/>
      </c>
      <c r="H26" s="30"/>
      <c r="I26" s="29" t="str">
        <f>IF(G26="","",G26*(1-H26))</f>
        <v/>
      </c>
      <c r="J26" s="30"/>
      <c r="K26" s="29"/>
      <c r="L26" s="28"/>
      <c r="M26" s="64"/>
      <c r="N26" s="64"/>
      <c r="O26" s="64"/>
      <c r="P26" s="31">
        <f>SUM(M26:O26)</f>
        <v>0</v>
      </c>
      <c r="Q26" s="29">
        <f>K26+L26+P26</f>
        <v>0</v>
      </c>
      <c r="R26" s="32"/>
    </row>
    <row r="27" spans="1:18" s="20" customFormat="1" ht="12">
      <c r="A27" s="34" t="s">
        <v>38</v>
      </c>
      <c r="B27" s="75"/>
      <c r="C27" s="26"/>
      <c r="D27" s="26"/>
      <c r="E27" s="27"/>
      <c r="F27" s="40"/>
      <c r="G27" s="29" t="str">
        <f>IF(OR($E27="",$F27="")=TRUE,"",E27*F27)</f>
        <v/>
      </c>
      <c r="H27" s="30"/>
      <c r="I27" s="29" t="str">
        <f>IF(G27="","",G27*(1-H27))</f>
        <v/>
      </c>
      <c r="J27" s="30"/>
      <c r="K27" s="29"/>
      <c r="L27" s="28"/>
      <c r="M27" s="64"/>
      <c r="N27" s="64"/>
      <c r="O27" s="64"/>
      <c r="P27" s="31">
        <f>SUM(M27:O27)</f>
        <v>0</v>
      </c>
      <c r="Q27" s="29">
        <f>K27+L27+P27</f>
        <v>0</v>
      </c>
      <c r="R27" s="32"/>
    </row>
    <row r="28" spans="1:18" s="20" customFormat="1" ht="12" customHeight="1">
      <c r="A28" s="101" t="s">
        <v>47</v>
      </c>
      <c r="B28" s="102"/>
      <c r="C28" s="102"/>
      <c r="D28" s="102"/>
      <c r="E28" s="41"/>
      <c r="F28" s="37"/>
      <c r="G28" s="31">
        <f>SUM(G24:G27)</f>
        <v>0</v>
      </c>
      <c r="H28" s="38"/>
      <c r="I28" s="31">
        <f>SUM(I24:I27)</f>
        <v>0</v>
      </c>
      <c r="J28" s="31"/>
      <c r="K28" s="31"/>
      <c r="L28" s="31"/>
      <c r="M28" s="31"/>
      <c r="N28" s="31"/>
      <c r="O28" s="31"/>
      <c r="P28" s="31"/>
      <c r="Q28" s="62">
        <f>SUM(Q24:Q27)</f>
        <v>0</v>
      </c>
      <c r="R28" s="39"/>
    </row>
    <row r="29" spans="1:18" s="20" customFormat="1" ht="12" customHeight="1">
      <c r="A29" s="103" t="s">
        <v>61</v>
      </c>
      <c r="B29" s="104"/>
      <c r="C29" s="104"/>
      <c r="D29" s="105"/>
      <c r="E29" s="42"/>
      <c r="F29" s="43"/>
      <c r="G29" s="80">
        <f>G28+G22+G10</f>
        <v>242175.08499999999</v>
      </c>
      <c r="H29" s="43"/>
      <c r="I29" s="80">
        <f>I28+I22+I10</f>
        <v>14249.202850000001</v>
      </c>
      <c r="J29" s="43"/>
      <c r="K29" s="80">
        <f>K28+K22+K10</f>
        <v>14391.694878499999</v>
      </c>
      <c r="L29" s="43"/>
      <c r="M29" s="43"/>
      <c r="N29" s="43"/>
      <c r="O29" s="43"/>
      <c r="P29" s="44"/>
      <c r="Q29" s="45">
        <f>Q10+Q22+Q28</f>
        <v>14463.694878499999</v>
      </c>
      <c r="R29" s="46"/>
    </row>
  </sheetData>
  <mergeCells count="25">
    <mergeCell ref="A6:R6"/>
    <mergeCell ref="A7:R7"/>
    <mergeCell ref="A10:D10"/>
    <mergeCell ref="I3:I4"/>
    <mergeCell ref="J3:J4"/>
    <mergeCell ref="K3:K4"/>
    <mergeCell ref="F3:F4"/>
    <mergeCell ref="G3:G4"/>
    <mergeCell ref="A1:R1"/>
    <mergeCell ref="A3:A5"/>
    <mergeCell ref="B3:B5"/>
    <mergeCell ref="C3:C5"/>
    <mergeCell ref="D3:D5"/>
    <mergeCell ref="E3:E4"/>
    <mergeCell ref="Q3:Q4"/>
    <mergeCell ref="R3:R5"/>
    <mergeCell ref="M4:P4"/>
    <mergeCell ref="H3:H4"/>
    <mergeCell ref="L3:L4"/>
    <mergeCell ref="M3:P3"/>
    <mergeCell ref="A11:R11"/>
    <mergeCell ref="A22:D22"/>
    <mergeCell ref="A23:R23"/>
    <mergeCell ref="A28:D28"/>
    <mergeCell ref="A29:D29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0"/>
  <sheetViews>
    <sheetView tabSelected="1" zoomScale="70" zoomScaleNormal="70" workbookViewId="0">
      <selection activeCell="F44" sqref="F44"/>
    </sheetView>
  </sheetViews>
  <sheetFormatPr defaultRowHeight="15"/>
  <cols>
    <col min="1" max="1" width="8.125" style="6" customWidth="1"/>
    <col min="2" max="2" width="9.875" style="60" bestFit="1" customWidth="1"/>
    <col min="3" max="3" width="8.25" style="61" bestFit="1" customWidth="1"/>
    <col min="4" max="4" width="74.5" style="2" bestFit="1" customWidth="1"/>
    <col min="5" max="5" width="5.125" style="3" bestFit="1" customWidth="1"/>
    <col min="6" max="6" width="10.75" style="3" bestFit="1" customWidth="1"/>
    <col min="7" max="7" width="12.625" style="4" bestFit="1" customWidth="1"/>
    <col min="8" max="8" width="10.25" style="5" bestFit="1" customWidth="1"/>
    <col min="9" max="10" width="9.875" style="4" customWidth="1"/>
    <col min="11" max="11" width="11.5" style="4" customWidth="1"/>
    <col min="12" max="12" width="8.125" style="4" customWidth="1"/>
    <col min="13" max="16" width="15.625" style="4" customWidth="1"/>
    <col min="17" max="17" width="13.125" style="4" customWidth="1"/>
    <col min="18" max="18" width="9.625" style="6" customWidth="1"/>
    <col min="19" max="16384" width="9" style="6"/>
  </cols>
  <sheetData>
    <row r="1" spans="1:18" s="1" customFormat="1" ht="31.5">
      <c r="A1" s="106" t="s">
        <v>15</v>
      </c>
      <c r="B1" s="106"/>
      <c r="C1" s="106"/>
      <c r="D1" s="106"/>
      <c r="E1" s="107"/>
      <c r="F1" s="107"/>
      <c r="G1" s="107"/>
      <c r="H1" s="108"/>
      <c r="I1" s="107"/>
      <c r="J1" s="107"/>
      <c r="K1" s="107"/>
      <c r="L1" s="107"/>
      <c r="M1" s="107"/>
      <c r="N1" s="107"/>
      <c r="O1" s="107"/>
      <c r="P1" s="107"/>
      <c r="Q1" s="107"/>
      <c r="R1" s="106"/>
    </row>
    <row r="2" spans="1:18" s="19" customFormat="1" ht="25.5" customHeight="1">
      <c r="A2" s="7" t="s">
        <v>90</v>
      </c>
      <c r="B2" s="8"/>
      <c r="C2" s="9"/>
      <c r="D2" s="10"/>
      <c r="E2" s="11"/>
      <c r="F2" s="77" t="s">
        <v>72</v>
      </c>
      <c r="G2" s="13" t="s">
        <v>58</v>
      </c>
      <c r="H2" s="12"/>
      <c r="I2" s="14" t="s">
        <v>92</v>
      </c>
      <c r="J2" s="15"/>
      <c r="K2" s="11"/>
      <c r="L2" s="11"/>
      <c r="M2" s="16"/>
      <c r="N2" s="16"/>
      <c r="O2" s="16"/>
      <c r="P2" s="16"/>
      <c r="Q2" s="17"/>
      <c r="R2" s="18"/>
    </row>
    <row r="3" spans="1:18" s="20" customFormat="1" ht="12.75" customHeight="1">
      <c r="A3" s="109" t="s">
        <v>4</v>
      </c>
      <c r="B3" s="109" t="s">
        <v>5</v>
      </c>
      <c r="C3" s="109" t="s">
        <v>6</v>
      </c>
      <c r="D3" s="109" t="s">
        <v>7</v>
      </c>
      <c r="E3" s="94" t="s">
        <v>8</v>
      </c>
      <c r="F3" s="94" t="s">
        <v>19</v>
      </c>
      <c r="G3" s="94" t="s">
        <v>20</v>
      </c>
      <c r="H3" s="114" t="s">
        <v>21</v>
      </c>
      <c r="I3" s="94" t="s">
        <v>22</v>
      </c>
      <c r="J3" s="94" t="s">
        <v>60</v>
      </c>
      <c r="K3" s="94" t="s">
        <v>23</v>
      </c>
      <c r="L3" s="94" t="s">
        <v>24</v>
      </c>
      <c r="M3" s="95" t="s">
        <v>25</v>
      </c>
      <c r="N3" s="96"/>
      <c r="O3" s="96"/>
      <c r="P3" s="97"/>
      <c r="Q3" s="110" t="s">
        <v>26</v>
      </c>
      <c r="R3" s="111" t="s">
        <v>9</v>
      </c>
    </row>
    <row r="4" spans="1:18" s="20" customFormat="1" ht="27.75" customHeight="1">
      <c r="A4" s="109"/>
      <c r="B4" s="109"/>
      <c r="C4" s="109"/>
      <c r="D4" s="109"/>
      <c r="E4" s="94"/>
      <c r="F4" s="94"/>
      <c r="G4" s="94"/>
      <c r="H4" s="114"/>
      <c r="I4" s="94"/>
      <c r="J4" s="94"/>
      <c r="K4" s="94"/>
      <c r="L4" s="94"/>
      <c r="M4" s="95" t="s">
        <v>27</v>
      </c>
      <c r="N4" s="96"/>
      <c r="O4" s="96"/>
      <c r="P4" s="97"/>
      <c r="Q4" s="110"/>
      <c r="R4" s="112"/>
    </row>
    <row r="5" spans="1:18" s="20" customFormat="1" ht="14.25" customHeight="1">
      <c r="A5" s="109"/>
      <c r="B5" s="109"/>
      <c r="C5" s="109"/>
      <c r="D5" s="109"/>
      <c r="E5" s="21" t="s">
        <v>10</v>
      </c>
      <c r="F5" s="21" t="s">
        <v>11</v>
      </c>
      <c r="G5" s="21" t="s">
        <v>12</v>
      </c>
      <c r="H5" s="22" t="s">
        <v>13</v>
      </c>
      <c r="I5" s="21" t="s">
        <v>14</v>
      </c>
      <c r="J5" s="21" t="s">
        <v>28</v>
      </c>
      <c r="K5" s="21" t="s">
        <v>29</v>
      </c>
      <c r="L5" s="21" t="s">
        <v>30</v>
      </c>
      <c r="M5" s="23" t="s">
        <v>31</v>
      </c>
      <c r="N5" s="23" t="s">
        <v>32</v>
      </c>
      <c r="O5" s="23" t="s">
        <v>33</v>
      </c>
      <c r="P5" s="23" t="s">
        <v>34</v>
      </c>
      <c r="Q5" s="63" t="s">
        <v>59</v>
      </c>
      <c r="R5" s="113"/>
    </row>
    <row r="6" spans="1:18" s="20" customFormat="1" ht="12">
      <c r="A6" s="98" t="s">
        <v>35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100"/>
    </row>
    <row r="7" spans="1:18" s="20" customFormat="1" ht="12">
      <c r="A7" s="98" t="s">
        <v>36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100"/>
    </row>
    <row r="8" spans="1:18" s="20" customFormat="1" ht="24">
      <c r="A8" s="34" t="s">
        <v>37</v>
      </c>
      <c r="B8" s="74" t="s">
        <v>100</v>
      </c>
      <c r="C8" s="32" t="s">
        <v>101</v>
      </c>
      <c r="D8" s="84" t="s">
        <v>102</v>
      </c>
      <c r="E8" s="27">
        <v>1</v>
      </c>
      <c r="F8" s="28">
        <v>81000</v>
      </c>
      <c r="G8" s="29">
        <f>IF(OR($E8="",$F8="")=TRUE,"",E8*F8)</f>
        <v>81000</v>
      </c>
      <c r="H8" s="30">
        <v>0.99</v>
      </c>
      <c r="I8" s="29">
        <f>IF(G8="","",G8*(1-H8))</f>
        <v>810.00000000000068</v>
      </c>
      <c r="J8" s="30">
        <v>0.01</v>
      </c>
      <c r="K8" s="88">
        <f>I8*(1+J8)</f>
        <v>818.1000000000007</v>
      </c>
      <c r="L8" s="28">
        <v>0</v>
      </c>
      <c r="M8" s="64">
        <f>E8</f>
        <v>1</v>
      </c>
      <c r="N8" s="64">
        <f>M8</f>
        <v>1</v>
      </c>
      <c r="O8" s="64">
        <f>N8</f>
        <v>1</v>
      </c>
      <c r="P8" s="31">
        <f>SUM(M8:O8)</f>
        <v>3</v>
      </c>
      <c r="Q8" s="29">
        <f>K8+L8+P8</f>
        <v>821.1000000000007</v>
      </c>
      <c r="R8" s="32"/>
    </row>
    <row r="9" spans="1:18" s="20" customFormat="1" ht="12">
      <c r="A9" s="34" t="s">
        <v>38</v>
      </c>
      <c r="B9" s="75"/>
      <c r="C9" s="26"/>
      <c r="D9" s="26"/>
      <c r="E9" s="27"/>
      <c r="F9" s="28"/>
      <c r="G9" s="29" t="str">
        <f>IF(OR($E9="",$F9="")=TRUE,"",E9*F9)</f>
        <v/>
      </c>
      <c r="H9" s="30"/>
      <c r="I9" s="29" t="str">
        <f>IF(G9="","",G9*(1-H9))</f>
        <v/>
      </c>
      <c r="J9" s="30"/>
      <c r="K9" s="29"/>
      <c r="L9" s="28"/>
      <c r="M9" s="64"/>
      <c r="N9" s="64"/>
      <c r="O9" s="64"/>
      <c r="P9" s="31">
        <f>SUM(M9:O9)</f>
        <v>0</v>
      </c>
      <c r="Q9" s="29">
        <f>K9+L9+P9</f>
        <v>0</v>
      </c>
      <c r="R9" s="32"/>
    </row>
    <row r="10" spans="1:18" s="20" customFormat="1" ht="15" customHeight="1">
      <c r="A10" s="101" t="s">
        <v>39</v>
      </c>
      <c r="B10" s="115"/>
      <c r="C10" s="115"/>
      <c r="D10" s="115"/>
      <c r="E10" s="36"/>
      <c r="F10" s="37"/>
      <c r="G10" s="31">
        <f>SUM(G8:G9)</f>
        <v>81000</v>
      </c>
      <c r="H10" s="38"/>
      <c r="I10" s="31">
        <f>SUM(I8:I9)</f>
        <v>810.00000000000068</v>
      </c>
      <c r="J10" s="31"/>
      <c r="K10" s="31">
        <f t="shared" ref="K10:Q10" si="0">SUM(K8:K9)</f>
        <v>818.1000000000007</v>
      </c>
      <c r="L10" s="31">
        <f t="shared" si="0"/>
        <v>0</v>
      </c>
      <c r="M10" s="31">
        <f t="shared" si="0"/>
        <v>1</v>
      </c>
      <c r="N10" s="31">
        <f t="shared" si="0"/>
        <v>1</v>
      </c>
      <c r="O10" s="31">
        <f t="shared" si="0"/>
        <v>1</v>
      </c>
      <c r="P10" s="31">
        <f t="shared" si="0"/>
        <v>3</v>
      </c>
      <c r="Q10" s="62">
        <f t="shared" si="0"/>
        <v>821.1000000000007</v>
      </c>
      <c r="R10" s="39"/>
    </row>
    <row r="11" spans="1:18" s="20" customFormat="1" ht="12">
      <c r="A11" s="98" t="s">
        <v>40</v>
      </c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100"/>
    </row>
    <row r="12" spans="1:18" s="20" customFormat="1" ht="12">
      <c r="A12" s="34" t="s">
        <v>41</v>
      </c>
      <c r="B12" s="82" t="s">
        <v>93</v>
      </c>
      <c r="C12" s="32" t="s">
        <v>63</v>
      </c>
      <c r="D12" s="81" t="s">
        <v>94</v>
      </c>
      <c r="E12" s="27">
        <v>2</v>
      </c>
      <c r="F12" s="40">
        <v>27927.899999999998</v>
      </c>
      <c r="G12" s="29">
        <f t="shared" ref="G12:G22" si="1">IF(OR($E12="",$F12="")=TRUE,"",E12*F12)</f>
        <v>55855.799999999996</v>
      </c>
      <c r="H12" s="30">
        <v>0.99</v>
      </c>
      <c r="I12" s="29">
        <f t="shared" ref="I12:I22" si="2">IF(G12="","",G12*(1-H12))</f>
        <v>558.55800000000045</v>
      </c>
      <c r="J12" s="30">
        <v>0.01</v>
      </c>
      <c r="K12" s="88">
        <f t="shared" ref="K12:K21" si="3">I12*(1+J12)</f>
        <v>564.1435800000005</v>
      </c>
      <c r="L12" s="28">
        <v>0</v>
      </c>
      <c r="M12" s="64">
        <f t="shared" ref="M12:M21" si="4">E12</f>
        <v>2</v>
      </c>
      <c r="N12" s="64">
        <f t="shared" ref="N12:O21" si="5">M12</f>
        <v>2</v>
      </c>
      <c r="O12" s="64">
        <f t="shared" si="5"/>
        <v>2</v>
      </c>
      <c r="P12" s="31">
        <f t="shared" ref="P12:P22" si="6">SUM(M12:O12)</f>
        <v>6</v>
      </c>
      <c r="Q12" s="29">
        <f t="shared" ref="Q12:Q22" si="7">K12+L12+P12</f>
        <v>570.1435800000005</v>
      </c>
      <c r="R12" s="32"/>
    </row>
    <row r="13" spans="1:18" s="20" customFormat="1" ht="12">
      <c r="A13" s="34" t="s">
        <v>2</v>
      </c>
      <c r="B13" s="83" t="s">
        <v>65</v>
      </c>
      <c r="C13" s="90" t="s">
        <v>64</v>
      </c>
      <c r="D13" s="91" t="s">
        <v>112</v>
      </c>
      <c r="E13" s="27">
        <v>24</v>
      </c>
      <c r="F13" s="92">
        <v>3006.8999999999996</v>
      </c>
      <c r="G13" s="89">
        <f t="shared" si="1"/>
        <v>72165.599999999991</v>
      </c>
      <c r="H13" s="93">
        <v>0.9</v>
      </c>
      <c r="I13" s="29">
        <f t="shared" si="2"/>
        <v>7216.5599999999977</v>
      </c>
      <c r="J13" s="30">
        <v>0.01</v>
      </c>
      <c r="K13" s="88">
        <f t="shared" si="3"/>
        <v>7288.7255999999979</v>
      </c>
      <c r="L13" s="28">
        <v>0</v>
      </c>
      <c r="M13" s="64">
        <f t="shared" si="4"/>
        <v>24</v>
      </c>
      <c r="N13" s="64">
        <f t="shared" si="5"/>
        <v>24</v>
      </c>
      <c r="O13" s="64">
        <f t="shared" si="5"/>
        <v>24</v>
      </c>
      <c r="P13" s="31">
        <f t="shared" si="6"/>
        <v>72</v>
      </c>
      <c r="Q13" s="29">
        <f t="shared" si="7"/>
        <v>7360.7255999999979</v>
      </c>
      <c r="R13" s="32"/>
    </row>
    <row r="14" spans="1:18" s="20" customFormat="1" ht="12">
      <c r="A14" s="34" t="s">
        <v>3</v>
      </c>
      <c r="B14" s="76" t="s">
        <v>117</v>
      </c>
      <c r="C14" s="32" t="s">
        <v>67</v>
      </c>
      <c r="D14" s="26" t="s">
        <v>69</v>
      </c>
      <c r="E14" s="27">
        <v>16</v>
      </c>
      <c r="F14" s="40">
        <v>13045.499999999998</v>
      </c>
      <c r="G14" s="29">
        <f t="shared" si="1"/>
        <v>208727.99999999997</v>
      </c>
      <c r="H14" s="30">
        <v>0.9</v>
      </c>
      <c r="I14" s="29">
        <f t="shared" si="2"/>
        <v>20872.799999999992</v>
      </c>
      <c r="J14" s="30">
        <v>0.01</v>
      </c>
      <c r="K14" s="88">
        <f t="shared" si="3"/>
        <v>21081.527999999991</v>
      </c>
      <c r="L14" s="28">
        <v>0</v>
      </c>
      <c r="M14" s="64">
        <f t="shared" si="4"/>
        <v>16</v>
      </c>
      <c r="N14" s="64">
        <f t="shared" si="5"/>
        <v>16</v>
      </c>
      <c r="O14" s="64">
        <f t="shared" si="5"/>
        <v>16</v>
      </c>
      <c r="P14" s="31">
        <f t="shared" si="6"/>
        <v>48</v>
      </c>
      <c r="Q14" s="29">
        <f t="shared" si="7"/>
        <v>21129.527999999991</v>
      </c>
      <c r="R14" s="32"/>
    </row>
    <row r="15" spans="1:18" s="20" customFormat="1" ht="12">
      <c r="A15" s="34" t="s">
        <v>83</v>
      </c>
      <c r="B15" s="76" t="s">
        <v>120</v>
      </c>
      <c r="C15" s="76" t="s">
        <v>79</v>
      </c>
      <c r="D15" s="73" t="s">
        <v>113</v>
      </c>
      <c r="E15" s="27">
        <v>1</v>
      </c>
      <c r="F15" s="79">
        <v>13302.9</v>
      </c>
      <c r="G15" s="29">
        <f t="shared" si="1"/>
        <v>13302.9</v>
      </c>
      <c r="H15" s="30">
        <v>0.99</v>
      </c>
      <c r="I15" s="29">
        <f t="shared" si="2"/>
        <v>133.02900000000011</v>
      </c>
      <c r="J15" s="30">
        <v>0.01</v>
      </c>
      <c r="K15" s="88">
        <f t="shared" si="3"/>
        <v>134.3592900000001</v>
      </c>
      <c r="L15" s="28">
        <v>0</v>
      </c>
      <c r="M15" s="64">
        <f t="shared" si="4"/>
        <v>1</v>
      </c>
      <c r="N15" s="64">
        <f t="shared" si="5"/>
        <v>1</v>
      </c>
      <c r="O15" s="64">
        <f t="shared" si="5"/>
        <v>1</v>
      </c>
      <c r="P15" s="31">
        <f t="shared" si="6"/>
        <v>3</v>
      </c>
      <c r="Q15" s="29">
        <f t="shared" si="7"/>
        <v>137.3592900000001</v>
      </c>
      <c r="R15" s="32"/>
    </row>
    <row r="16" spans="1:18" s="20" customFormat="1" ht="12">
      <c r="A16" s="34" t="s">
        <v>84</v>
      </c>
      <c r="B16" s="76" t="s">
        <v>119</v>
      </c>
      <c r="C16" s="76" t="s">
        <v>78</v>
      </c>
      <c r="D16" s="73" t="s">
        <v>74</v>
      </c>
      <c r="E16" s="27">
        <f>2*E8</f>
        <v>2</v>
      </c>
      <c r="F16" s="79">
        <v>20112.799999999996</v>
      </c>
      <c r="G16" s="87">
        <f t="shared" si="1"/>
        <v>40225.599999999991</v>
      </c>
      <c r="H16" s="30">
        <v>0.99</v>
      </c>
      <c r="I16" s="87">
        <f t="shared" si="2"/>
        <v>402.25600000000026</v>
      </c>
      <c r="J16" s="30">
        <v>0.01</v>
      </c>
      <c r="K16" s="88">
        <f t="shared" si="3"/>
        <v>406.27856000000025</v>
      </c>
      <c r="L16" s="28">
        <v>0</v>
      </c>
      <c r="M16" s="64">
        <f t="shared" si="4"/>
        <v>2</v>
      </c>
      <c r="N16" s="64">
        <f t="shared" si="5"/>
        <v>2</v>
      </c>
      <c r="O16" s="64">
        <f t="shared" si="5"/>
        <v>2</v>
      </c>
      <c r="P16" s="31">
        <f t="shared" si="6"/>
        <v>6</v>
      </c>
      <c r="Q16" s="87">
        <f t="shared" si="7"/>
        <v>412.27856000000025</v>
      </c>
      <c r="R16" s="32"/>
    </row>
    <row r="17" spans="1:18" s="20" customFormat="1" ht="12">
      <c r="A17" s="34" t="s">
        <v>88</v>
      </c>
      <c r="B17" s="74" t="s">
        <v>118</v>
      </c>
      <c r="C17" s="32" t="s">
        <v>71</v>
      </c>
      <c r="D17" s="72" t="s">
        <v>114</v>
      </c>
      <c r="E17" s="27">
        <v>1</v>
      </c>
      <c r="F17" s="78">
        <v>3510</v>
      </c>
      <c r="G17" s="29">
        <f t="shared" si="1"/>
        <v>3510</v>
      </c>
      <c r="H17" s="30">
        <v>0.99</v>
      </c>
      <c r="I17" s="29">
        <f t="shared" si="2"/>
        <v>35.10000000000003</v>
      </c>
      <c r="J17" s="30">
        <v>0.01</v>
      </c>
      <c r="K17" s="88">
        <f t="shared" si="3"/>
        <v>35.451000000000029</v>
      </c>
      <c r="L17" s="28">
        <v>0</v>
      </c>
      <c r="M17" s="64">
        <f t="shared" si="4"/>
        <v>1</v>
      </c>
      <c r="N17" s="64">
        <f t="shared" si="5"/>
        <v>1</v>
      </c>
      <c r="O17" s="64">
        <f t="shared" si="5"/>
        <v>1</v>
      </c>
      <c r="P17" s="31">
        <f t="shared" si="6"/>
        <v>3</v>
      </c>
      <c r="Q17" s="29">
        <f t="shared" si="7"/>
        <v>38.451000000000029</v>
      </c>
      <c r="R17" s="32"/>
    </row>
    <row r="18" spans="1:18" s="20" customFormat="1" ht="12">
      <c r="A18" s="34" t="s">
        <v>89</v>
      </c>
      <c r="B18" s="74" t="s">
        <v>70</v>
      </c>
      <c r="C18" s="32" t="s">
        <v>71</v>
      </c>
      <c r="D18" s="72" t="s">
        <v>115</v>
      </c>
      <c r="E18" s="27">
        <v>1</v>
      </c>
      <c r="F18" s="78">
        <v>2527.1999999999994</v>
      </c>
      <c r="G18" s="29">
        <f t="shared" si="1"/>
        <v>2527.1999999999994</v>
      </c>
      <c r="H18" s="30">
        <v>0.99</v>
      </c>
      <c r="I18" s="29">
        <f t="shared" si="2"/>
        <v>25.272000000000016</v>
      </c>
      <c r="J18" s="30">
        <v>0.01</v>
      </c>
      <c r="K18" s="88">
        <f t="shared" si="3"/>
        <v>25.524720000000016</v>
      </c>
      <c r="L18" s="28">
        <v>0</v>
      </c>
      <c r="M18" s="64">
        <f t="shared" si="4"/>
        <v>1</v>
      </c>
      <c r="N18" s="64">
        <f t="shared" si="5"/>
        <v>1</v>
      </c>
      <c r="O18" s="64">
        <f t="shared" si="5"/>
        <v>1</v>
      </c>
      <c r="P18" s="31">
        <f t="shared" si="6"/>
        <v>3</v>
      </c>
      <c r="Q18" s="29">
        <f t="shared" si="7"/>
        <v>28.524720000000016</v>
      </c>
      <c r="R18" s="32"/>
    </row>
    <row r="19" spans="1:18" s="20" customFormat="1" ht="12">
      <c r="A19" s="34" t="s">
        <v>103</v>
      </c>
      <c r="B19" s="76" t="s">
        <v>121</v>
      </c>
      <c r="C19" s="76" t="s">
        <v>80</v>
      </c>
      <c r="D19" s="73" t="s">
        <v>77</v>
      </c>
      <c r="E19" s="27">
        <v>1</v>
      </c>
      <c r="F19" s="79">
        <v>1579.4999999999998</v>
      </c>
      <c r="G19" s="29">
        <f t="shared" si="1"/>
        <v>1579.4999999999998</v>
      </c>
      <c r="H19" s="30">
        <v>0.99</v>
      </c>
      <c r="I19" s="29">
        <f t="shared" si="2"/>
        <v>15.795000000000012</v>
      </c>
      <c r="J19" s="30">
        <v>0.01</v>
      </c>
      <c r="K19" s="88">
        <f t="shared" si="3"/>
        <v>15.952950000000012</v>
      </c>
      <c r="L19" s="28">
        <v>0</v>
      </c>
      <c r="M19" s="64">
        <f t="shared" si="4"/>
        <v>1</v>
      </c>
      <c r="N19" s="64">
        <f t="shared" si="5"/>
        <v>1</v>
      </c>
      <c r="O19" s="64">
        <f t="shared" si="5"/>
        <v>1</v>
      </c>
      <c r="P19" s="31">
        <f t="shared" si="6"/>
        <v>3</v>
      </c>
      <c r="Q19" s="29">
        <f t="shared" si="7"/>
        <v>18.952950000000012</v>
      </c>
      <c r="R19" s="32"/>
    </row>
    <row r="20" spans="1:18" s="20" customFormat="1" ht="12">
      <c r="A20" s="34" t="s">
        <v>104</v>
      </c>
      <c r="B20" s="83" t="s">
        <v>97</v>
      </c>
      <c r="C20" s="76" t="s">
        <v>81</v>
      </c>
      <c r="D20" s="73" t="s">
        <v>99</v>
      </c>
      <c r="E20" s="27">
        <v>1</v>
      </c>
      <c r="F20" s="79">
        <v>14075.099999999999</v>
      </c>
      <c r="G20" s="29">
        <f t="shared" si="1"/>
        <v>14075.099999999999</v>
      </c>
      <c r="H20" s="30">
        <v>0.99</v>
      </c>
      <c r="I20" s="29">
        <f t="shared" si="2"/>
        <v>140.75100000000012</v>
      </c>
      <c r="J20" s="30">
        <v>0.01</v>
      </c>
      <c r="K20" s="88">
        <f t="shared" si="3"/>
        <v>142.15851000000012</v>
      </c>
      <c r="L20" s="28">
        <v>0</v>
      </c>
      <c r="M20" s="64">
        <f t="shared" si="4"/>
        <v>1</v>
      </c>
      <c r="N20" s="64">
        <f t="shared" si="5"/>
        <v>1</v>
      </c>
      <c r="O20" s="64">
        <f t="shared" si="5"/>
        <v>1</v>
      </c>
      <c r="P20" s="31">
        <f t="shared" si="6"/>
        <v>3</v>
      </c>
      <c r="Q20" s="29">
        <f t="shared" si="7"/>
        <v>145.15851000000012</v>
      </c>
      <c r="R20" s="32"/>
    </row>
    <row r="21" spans="1:18" s="20" customFormat="1" ht="12">
      <c r="A21" s="34" t="s">
        <v>108</v>
      </c>
      <c r="B21" s="85" t="s">
        <v>106</v>
      </c>
      <c r="C21" s="85" t="s">
        <v>105</v>
      </c>
      <c r="D21" s="86" t="s">
        <v>107</v>
      </c>
      <c r="E21" s="27">
        <v>1</v>
      </c>
      <c r="F21" s="40">
        <v>1685.385</v>
      </c>
      <c r="G21" s="29">
        <f t="shared" si="1"/>
        <v>1685.385</v>
      </c>
      <c r="H21" s="30">
        <v>0.99</v>
      </c>
      <c r="I21" s="29">
        <f t="shared" si="2"/>
        <v>16.853850000000016</v>
      </c>
      <c r="J21" s="30">
        <v>0.01</v>
      </c>
      <c r="K21" s="88">
        <f t="shared" si="3"/>
        <v>17.022388500000016</v>
      </c>
      <c r="L21" s="28">
        <v>0</v>
      </c>
      <c r="M21" s="64">
        <f t="shared" si="4"/>
        <v>1</v>
      </c>
      <c r="N21" s="64">
        <f t="shared" si="5"/>
        <v>1</v>
      </c>
      <c r="O21" s="64">
        <f t="shared" si="5"/>
        <v>1</v>
      </c>
      <c r="P21" s="31">
        <f t="shared" si="6"/>
        <v>3</v>
      </c>
      <c r="Q21" s="29">
        <f t="shared" si="7"/>
        <v>20.022388500000016</v>
      </c>
      <c r="R21" s="32"/>
    </row>
    <row r="22" spans="1:18" s="20" customFormat="1" ht="12">
      <c r="A22" s="34" t="s">
        <v>38</v>
      </c>
      <c r="B22" s="75"/>
      <c r="C22" s="26"/>
      <c r="D22" s="26"/>
      <c r="E22" s="27"/>
      <c r="F22" s="28"/>
      <c r="G22" s="29" t="str">
        <f t="shared" si="1"/>
        <v/>
      </c>
      <c r="H22" s="30"/>
      <c r="I22" s="29" t="str">
        <f t="shared" si="2"/>
        <v/>
      </c>
      <c r="J22" s="30"/>
      <c r="K22" s="29"/>
      <c r="L22" s="28"/>
      <c r="M22" s="64"/>
      <c r="N22" s="64"/>
      <c r="O22" s="64"/>
      <c r="P22" s="31">
        <f t="shared" si="6"/>
        <v>0</v>
      </c>
      <c r="Q22" s="29">
        <f t="shared" si="7"/>
        <v>0</v>
      </c>
      <c r="R22" s="32"/>
    </row>
    <row r="23" spans="1:18" s="20" customFormat="1" ht="15" customHeight="1">
      <c r="A23" s="101" t="s">
        <v>42</v>
      </c>
      <c r="B23" s="102"/>
      <c r="C23" s="102"/>
      <c r="D23" s="102"/>
      <c r="E23" s="36"/>
      <c r="F23" s="37"/>
      <c r="G23" s="31">
        <f>SUM(G12:G22)</f>
        <v>413655.08499999996</v>
      </c>
      <c r="H23" s="38"/>
      <c r="I23" s="31">
        <f>SUM(I12:I22)</f>
        <v>29416.974849999988</v>
      </c>
      <c r="J23" s="31"/>
      <c r="K23" s="31">
        <f t="shared" ref="K23:Q23" si="8">SUM(K12:K22)</f>
        <v>29711.144598499992</v>
      </c>
      <c r="L23" s="31">
        <f t="shared" si="8"/>
        <v>0</v>
      </c>
      <c r="M23" s="31">
        <f t="shared" si="8"/>
        <v>50</v>
      </c>
      <c r="N23" s="31">
        <f t="shared" si="8"/>
        <v>50</v>
      </c>
      <c r="O23" s="31">
        <f t="shared" si="8"/>
        <v>50</v>
      </c>
      <c r="P23" s="31">
        <f t="shared" si="8"/>
        <v>150</v>
      </c>
      <c r="Q23" s="62">
        <f t="shared" si="8"/>
        <v>29861.144598499992</v>
      </c>
      <c r="R23" s="39"/>
    </row>
    <row r="24" spans="1:18" s="20" customFormat="1" ht="12">
      <c r="A24" s="98" t="s">
        <v>43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100"/>
    </row>
    <row r="25" spans="1:18" s="20" customFormat="1" ht="12">
      <c r="A25" s="34" t="s">
        <v>44</v>
      </c>
      <c r="B25" s="74"/>
      <c r="C25" s="26"/>
      <c r="D25" s="26"/>
      <c r="E25" s="27"/>
      <c r="F25" s="40"/>
      <c r="G25" s="29" t="str">
        <f>IF(OR($E25="",$F25="")=TRUE,"",E25*F25)</f>
        <v/>
      </c>
      <c r="H25" s="30"/>
      <c r="I25" s="29" t="str">
        <f>IF(G25="","",G25*(1-H25))</f>
        <v/>
      </c>
      <c r="J25" s="30"/>
      <c r="K25" s="29"/>
      <c r="L25" s="28"/>
      <c r="M25" s="64"/>
      <c r="N25" s="64"/>
      <c r="O25" s="64"/>
      <c r="P25" s="31">
        <f>SUM(M25:O25)</f>
        <v>0</v>
      </c>
      <c r="Q25" s="29">
        <f>K25+L25+P25</f>
        <v>0</v>
      </c>
      <c r="R25" s="32"/>
    </row>
    <row r="26" spans="1:18" s="20" customFormat="1" ht="12">
      <c r="A26" s="34" t="s">
        <v>45</v>
      </c>
      <c r="B26" s="74"/>
      <c r="C26" s="26"/>
      <c r="D26" s="26"/>
      <c r="E26" s="27"/>
      <c r="F26" s="40"/>
      <c r="G26" s="29" t="str">
        <f>IF(OR($E26="",$F26="")=TRUE,"",E26*F26)</f>
        <v/>
      </c>
      <c r="H26" s="30"/>
      <c r="I26" s="29" t="str">
        <f>IF(G26="","",G26*(1-H26))</f>
        <v/>
      </c>
      <c r="J26" s="30"/>
      <c r="K26" s="29"/>
      <c r="L26" s="28"/>
      <c r="M26" s="64"/>
      <c r="N26" s="64"/>
      <c r="O26" s="64"/>
      <c r="P26" s="31">
        <f>SUM(M26:O26)</f>
        <v>0</v>
      </c>
      <c r="Q26" s="29">
        <f>K26+L26+P26</f>
        <v>0</v>
      </c>
      <c r="R26" s="32"/>
    </row>
    <row r="27" spans="1:18" s="20" customFormat="1" ht="12">
      <c r="A27" s="34" t="s">
        <v>46</v>
      </c>
      <c r="B27" s="74"/>
      <c r="C27" s="26"/>
      <c r="D27" s="26"/>
      <c r="E27" s="27"/>
      <c r="F27" s="40"/>
      <c r="G27" s="29" t="str">
        <f>IF(OR($E27="",$F27="")=TRUE,"",E27*F27)</f>
        <v/>
      </c>
      <c r="H27" s="30"/>
      <c r="I27" s="29" t="str">
        <f>IF(G27="","",G27*(1-H27))</f>
        <v/>
      </c>
      <c r="J27" s="30"/>
      <c r="K27" s="29"/>
      <c r="L27" s="28"/>
      <c r="M27" s="64"/>
      <c r="N27" s="64"/>
      <c r="O27" s="64"/>
      <c r="P27" s="31">
        <f>SUM(M27:O27)</f>
        <v>0</v>
      </c>
      <c r="Q27" s="29">
        <f>K27+L27+P27</f>
        <v>0</v>
      </c>
      <c r="R27" s="32"/>
    </row>
    <row r="28" spans="1:18" s="20" customFormat="1" ht="12">
      <c r="A28" s="34" t="s">
        <v>38</v>
      </c>
      <c r="B28" s="75"/>
      <c r="C28" s="26"/>
      <c r="D28" s="26"/>
      <c r="E28" s="27"/>
      <c r="F28" s="40"/>
      <c r="G28" s="29" t="str">
        <f>IF(OR($E28="",$F28="")=TRUE,"",E28*F28)</f>
        <v/>
      </c>
      <c r="H28" s="30"/>
      <c r="I28" s="29" t="str">
        <f>IF(G28="","",G28*(1-H28))</f>
        <v/>
      </c>
      <c r="J28" s="30"/>
      <c r="K28" s="29"/>
      <c r="L28" s="28"/>
      <c r="M28" s="64"/>
      <c r="N28" s="64"/>
      <c r="O28" s="64"/>
      <c r="P28" s="31">
        <f>SUM(M28:O28)</f>
        <v>0</v>
      </c>
      <c r="Q28" s="29">
        <f>K28+L28+P28</f>
        <v>0</v>
      </c>
      <c r="R28" s="32"/>
    </row>
    <row r="29" spans="1:18" s="20" customFormat="1" ht="12" customHeight="1">
      <c r="A29" s="101" t="s">
        <v>47</v>
      </c>
      <c r="B29" s="102"/>
      <c r="C29" s="102"/>
      <c r="D29" s="102"/>
      <c r="E29" s="41"/>
      <c r="F29" s="37"/>
      <c r="G29" s="31">
        <f>SUM(G25:G28)</f>
        <v>0</v>
      </c>
      <c r="H29" s="38"/>
      <c r="I29" s="31">
        <f>SUM(I25:I28)</f>
        <v>0</v>
      </c>
      <c r="J29" s="31"/>
      <c r="K29" s="31"/>
      <c r="L29" s="31"/>
      <c r="M29" s="31"/>
      <c r="N29" s="31"/>
      <c r="O29" s="31"/>
      <c r="P29" s="31"/>
      <c r="Q29" s="62">
        <f>SUM(Q25:Q28)</f>
        <v>0</v>
      </c>
      <c r="R29" s="39"/>
    </row>
    <row r="30" spans="1:18" s="20" customFormat="1" ht="12" customHeight="1">
      <c r="A30" s="103" t="s">
        <v>61</v>
      </c>
      <c r="B30" s="104"/>
      <c r="C30" s="104"/>
      <c r="D30" s="105"/>
      <c r="E30" s="42"/>
      <c r="F30" s="43"/>
      <c r="G30" s="80">
        <f>G29+G23+G10</f>
        <v>494655.08499999996</v>
      </c>
      <c r="H30" s="43"/>
      <c r="I30" s="80">
        <f>I29+I23+I10</f>
        <v>30226.974849999988</v>
      </c>
      <c r="J30" s="43"/>
      <c r="K30" s="80">
        <f>K29+K23+K10</f>
        <v>30529.244598499994</v>
      </c>
      <c r="L30" s="43"/>
      <c r="M30" s="43"/>
      <c r="N30" s="43"/>
      <c r="O30" s="43"/>
      <c r="P30" s="44"/>
      <c r="Q30" s="45">
        <f>Q10+Q23+Q29</f>
        <v>30682.244598499994</v>
      </c>
      <c r="R30" s="46"/>
    </row>
  </sheetData>
  <mergeCells count="25">
    <mergeCell ref="A30:D30"/>
    <mergeCell ref="I3:I4"/>
    <mergeCell ref="C3:C5"/>
    <mergeCell ref="B3:B5"/>
    <mergeCell ref="D3:D5"/>
    <mergeCell ref="F3:F4"/>
    <mergeCell ref="A11:R11"/>
    <mergeCell ref="A23:D23"/>
    <mergeCell ref="A24:R24"/>
    <mergeCell ref="A29:D29"/>
    <mergeCell ref="G3:G4"/>
    <mergeCell ref="A6:R6"/>
    <mergeCell ref="A7:R7"/>
    <mergeCell ref="A10:D10"/>
    <mergeCell ref="J3:J4"/>
    <mergeCell ref="M4:P4"/>
    <mergeCell ref="A1:R1"/>
    <mergeCell ref="L3:L4"/>
    <mergeCell ref="M3:P3"/>
    <mergeCell ref="Q3:Q4"/>
    <mergeCell ref="R3:R5"/>
    <mergeCell ref="H3:H4"/>
    <mergeCell ref="K3:K4"/>
    <mergeCell ref="A3:A5"/>
    <mergeCell ref="E3:E4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1"/>
  <sheetViews>
    <sheetView zoomScale="70" zoomScaleNormal="70" workbookViewId="0">
      <selection activeCell="K46" sqref="K46"/>
    </sheetView>
  </sheetViews>
  <sheetFormatPr defaultRowHeight="15"/>
  <cols>
    <col min="1" max="1" width="6.375" style="6" customWidth="1"/>
    <col min="2" max="2" width="9.875" style="60" bestFit="1" customWidth="1"/>
    <col min="3" max="3" width="8.5" style="61" bestFit="1" customWidth="1"/>
    <col min="4" max="4" width="15.25" style="2" bestFit="1" customWidth="1"/>
    <col min="5" max="5" width="5.125" style="3" bestFit="1" customWidth="1"/>
    <col min="6" max="6" width="10.75" style="3" bestFit="1" customWidth="1"/>
    <col min="7" max="7" width="12" style="4" customWidth="1"/>
    <col min="8" max="8" width="10.25" style="5" bestFit="1" customWidth="1"/>
    <col min="9" max="10" width="9.875" style="4" customWidth="1"/>
    <col min="11" max="11" width="11.5" style="4" customWidth="1"/>
    <col min="12" max="12" width="8.125" style="4" customWidth="1"/>
    <col min="13" max="16" width="15.625" style="4" customWidth="1"/>
    <col min="17" max="17" width="13.125" style="4" customWidth="1"/>
    <col min="18" max="18" width="9.625" style="6" customWidth="1"/>
    <col min="19" max="16384" width="9" style="6"/>
  </cols>
  <sheetData>
    <row r="1" spans="1:18" s="1" customFormat="1" ht="31.5">
      <c r="A1" s="106" t="s">
        <v>15</v>
      </c>
      <c r="B1" s="106"/>
      <c r="C1" s="106"/>
      <c r="D1" s="106"/>
      <c r="E1" s="107"/>
      <c r="F1" s="107"/>
      <c r="G1" s="107"/>
      <c r="H1" s="108"/>
      <c r="I1" s="107"/>
      <c r="J1" s="107"/>
      <c r="K1" s="107"/>
      <c r="L1" s="107"/>
      <c r="M1" s="107"/>
      <c r="N1" s="107"/>
      <c r="O1" s="107"/>
      <c r="P1" s="107"/>
      <c r="Q1" s="107"/>
      <c r="R1" s="106"/>
    </row>
    <row r="2" spans="1:18" s="19" customFormat="1" ht="25.5" customHeight="1">
      <c r="A2" s="7" t="s">
        <v>16</v>
      </c>
      <c r="B2" s="8"/>
      <c r="C2" s="9"/>
      <c r="D2" s="10"/>
      <c r="E2" s="11"/>
      <c r="F2" s="12" t="s">
        <v>17</v>
      </c>
      <c r="G2" s="13" t="s">
        <v>62</v>
      </c>
      <c r="H2" s="12"/>
      <c r="I2" s="14" t="s">
        <v>18</v>
      </c>
      <c r="J2" s="15"/>
      <c r="K2" s="11"/>
      <c r="L2" s="11"/>
      <c r="M2" s="16"/>
      <c r="N2" s="16"/>
      <c r="O2" s="16"/>
      <c r="P2" s="16"/>
      <c r="Q2" s="17"/>
      <c r="R2" s="18"/>
    </row>
    <row r="3" spans="1:18" s="20" customFormat="1" ht="12.75" customHeight="1">
      <c r="A3" s="109" t="s">
        <v>4</v>
      </c>
      <c r="B3" s="109" t="s">
        <v>5</v>
      </c>
      <c r="C3" s="109" t="s">
        <v>6</v>
      </c>
      <c r="D3" s="109" t="s">
        <v>7</v>
      </c>
      <c r="E3" s="94" t="s">
        <v>8</v>
      </c>
      <c r="F3" s="94" t="s">
        <v>19</v>
      </c>
      <c r="G3" s="94" t="s">
        <v>20</v>
      </c>
      <c r="H3" s="114" t="s">
        <v>21</v>
      </c>
      <c r="I3" s="94" t="s">
        <v>22</v>
      </c>
      <c r="J3" s="94" t="s">
        <v>60</v>
      </c>
      <c r="K3" s="94" t="s">
        <v>23</v>
      </c>
      <c r="L3" s="94" t="s">
        <v>24</v>
      </c>
      <c r="M3" s="95" t="s">
        <v>25</v>
      </c>
      <c r="N3" s="96"/>
      <c r="O3" s="96"/>
      <c r="P3" s="97"/>
      <c r="Q3" s="110" t="s">
        <v>26</v>
      </c>
      <c r="R3" s="111" t="s">
        <v>9</v>
      </c>
    </row>
    <row r="4" spans="1:18" s="20" customFormat="1" ht="27.75" customHeight="1">
      <c r="A4" s="109"/>
      <c r="B4" s="109"/>
      <c r="C4" s="109"/>
      <c r="D4" s="109"/>
      <c r="E4" s="94"/>
      <c r="F4" s="94"/>
      <c r="G4" s="94"/>
      <c r="H4" s="114"/>
      <c r="I4" s="94"/>
      <c r="J4" s="94"/>
      <c r="K4" s="94"/>
      <c r="L4" s="94"/>
      <c r="M4" s="95" t="s">
        <v>27</v>
      </c>
      <c r="N4" s="96"/>
      <c r="O4" s="96"/>
      <c r="P4" s="97"/>
      <c r="Q4" s="110"/>
      <c r="R4" s="112"/>
    </row>
    <row r="5" spans="1:18" s="20" customFormat="1" ht="14.25" customHeight="1">
      <c r="A5" s="109"/>
      <c r="B5" s="109"/>
      <c r="C5" s="109"/>
      <c r="D5" s="109"/>
      <c r="E5" s="65" t="s">
        <v>10</v>
      </c>
      <c r="F5" s="65" t="s">
        <v>11</v>
      </c>
      <c r="G5" s="65" t="s">
        <v>12</v>
      </c>
      <c r="H5" s="67" t="s">
        <v>13</v>
      </c>
      <c r="I5" s="65" t="s">
        <v>14</v>
      </c>
      <c r="J5" s="65" t="s">
        <v>28</v>
      </c>
      <c r="K5" s="65" t="s">
        <v>29</v>
      </c>
      <c r="L5" s="65" t="s">
        <v>30</v>
      </c>
      <c r="M5" s="23" t="s">
        <v>31</v>
      </c>
      <c r="N5" s="23" t="s">
        <v>32</v>
      </c>
      <c r="O5" s="23" t="s">
        <v>33</v>
      </c>
      <c r="P5" s="23" t="s">
        <v>34</v>
      </c>
      <c r="Q5" s="66" t="s">
        <v>59</v>
      </c>
      <c r="R5" s="113"/>
    </row>
    <row r="6" spans="1:18" s="20" customFormat="1" ht="12">
      <c r="A6" s="98" t="s">
        <v>35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100"/>
    </row>
    <row r="7" spans="1:18" s="20" customFormat="1" ht="12">
      <c r="A7" s="98" t="s">
        <v>36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100"/>
    </row>
    <row r="8" spans="1:18" s="33" customFormat="1" ht="12">
      <c r="A8" s="24" t="s">
        <v>37</v>
      </c>
      <c r="B8" s="25"/>
      <c r="C8" s="26"/>
      <c r="D8" s="26"/>
      <c r="E8" s="27"/>
      <c r="F8" s="28"/>
      <c r="G8" s="29" t="str">
        <f>IF(OR($E8="",$F8="")=TRUE,"",E8*F8)</f>
        <v/>
      </c>
      <c r="H8" s="30"/>
      <c r="I8" s="29" t="str">
        <f>IF(G8="","",G8*(1-H8))</f>
        <v/>
      </c>
      <c r="J8" s="30"/>
      <c r="K8" s="29"/>
      <c r="L8" s="28"/>
      <c r="M8" s="64"/>
      <c r="N8" s="64"/>
      <c r="O8" s="64"/>
      <c r="P8" s="31">
        <f>SUM(M8:O8)</f>
        <v>0</v>
      </c>
      <c r="Q8" s="29">
        <f>K8+L8+P8</f>
        <v>0</v>
      </c>
      <c r="R8" s="32"/>
    </row>
    <row r="9" spans="1:18" s="33" customFormat="1" ht="12">
      <c r="A9" s="24" t="s">
        <v>0</v>
      </c>
      <c r="B9" s="25"/>
      <c r="C9" s="26"/>
      <c r="D9" s="26"/>
      <c r="E9" s="27"/>
      <c r="F9" s="28"/>
      <c r="G9" s="29" t="str">
        <f>IF(OR($E9="",$F9="")=TRUE,"",E9*F9)</f>
        <v/>
      </c>
      <c r="H9" s="30"/>
      <c r="I9" s="29" t="str">
        <f>IF(G9="","",G9*(1-H9))</f>
        <v/>
      </c>
      <c r="J9" s="30"/>
      <c r="K9" s="29"/>
      <c r="L9" s="28"/>
      <c r="M9" s="64"/>
      <c r="N9" s="64"/>
      <c r="O9" s="64"/>
      <c r="P9" s="31">
        <f>SUM(M9:O9)</f>
        <v>0</v>
      </c>
      <c r="Q9" s="29">
        <f>K9+L9+P9</f>
        <v>0</v>
      </c>
      <c r="R9" s="32"/>
    </row>
    <row r="10" spans="1:18" s="33" customFormat="1" ht="12">
      <c r="A10" s="24" t="s">
        <v>1</v>
      </c>
      <c r="B10" s="25"/>
      <c r="C10" s="26"/>
      <c r="D10" s="26"/>
      <c r="E10" s="27"/>
      <c r="F10" s="28"/>
      <c r="G10" s="29" t="str">
        <f>IF(OR($E10="",$F10="")=TRUE,"",E10*F10)</f>
        <v/>
      </c>
      <c r="H10" s="30"/>
      <c r="I10" s="29" t="str">
        <f>IF(G10="","",G10*(1-H10))</f>
        <v/>
      </c>
      <c r="J10" s="30"/>
      <c r="K10" s="29"/>
      <c r="L10" s="28"/>
      <c r="M10" s="64"/>
      <c r="N10" s="64"/>
      <c r="O10" s="64"/>
      <c r="P10" s="31">
        <f>SUM(M10:O10)</f>
        <v>0</v>
      </c>
      <c r="Q10" s="29">
        <f>K10+L10+P10</f>
        <v>0</v>
      </c>
      <c r="R10" s="32"/>
    </row>
    <row r="11" spans="1:18" s="20" customFormat="1" ht="12">
      <c r="A11" s="34" t="s">
        <v>38</v>
      </c>
      <c r="B11" s="35"/>
      <c r="C11" s="26"/>
      <c r="D11" s="26"/>
      <c r="E11" s="27"/>
      <c r="F11" s="28"/>
      <c r="G11" s="29" t="str">
        <f>IF(OR($E11="",$F11="")=TRUE,"",E11*F11)</f>
        <v/>
      </c>
      <c r="H11" s="30"/>
      <c r="I11" s="29" t="str">
        <f>IF(G11="","",G11*(1-H11))</f>
        <v/>
      </c>
      <c r="J11" s="30"/>
      <c r="K11" s="29"/>
      <c r="L11" s="28"/>
      <c r="M11" s="64"/>
      <c r="N11" s="64"/>
      <c r="O11" s="64"/>
      <c r="P11" s="31">
        <f>SUM(M11:O11)</f>
        <v>0</v>
      </c>
      <c r="Q11" s="29">
        <f>K11+L11+P11</f>
        <v>0</v>
      </c>
      <c r="R11" s="32"/>
    </row>
    <row r="12" spans="1:18" s="20" customFormat="1" ht="15" customHeight="1">
      <c r="A12" s="101" t="s">
        <v>39</v>
      </c>
      <c r="B12" s="115"/>
      <c r="C12" s="115"/>
      <c r="D12" s="115"/>
      <c r="E12" s="36"/>
      <c r="F12" s="37"/>
      <c r="G12" s="31">
        <f>SUM(G8:G11)</f>
        <v>0</v>
      </c>
      <c r="H12" s="38"/>
      <c r="I12" s="31">
        <f>SUM(I8:I11)</f>
        <v>0</v>
      </c>
      <c r="J12" s="31"/>
      <c r="K12" s="31">
        <f t="shared" ref="K12:Q12" si="0">SUM(K8:K11)</f>
        <v>0</v>
      </c>
      <c r="L12" s="31">
        <f t="shared" si="0"/>
        <v>0</v>
      </c>
      <c r="M12" s="31">
        <f t="shared" si="0"/>
        <v>0</v>
      </c>
      <c r="N12" s="31">
        <f t="shared" si="0"/>
        <v>0</v>
      </c>
      <c r="O12" s="31">
        <f t="shared" si="0"/>
        <v>0</v>
      </c>
      <c r="P12" s="31">
        <f t="shared" si="0"/>
        <v>0</v>
      </c>
      <c r="Q12" s="62">
        <f t="shared" si="0"/>
        <v>0</v>
      </c>
      <c r="R12" s="39"/>
    </row>
    <row r="13" spans="1:18" s="20" customFormat="1" ht="12">
      <c r="A13" s="98" t="s">
        <v>40</v>
      </c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100"/>
    </row>
    <row r="14" spans="1:18" s="20" customFormat="1" ht="12">
      <c r="A14" s="34" t="s">
        <v>41</v>
      </c>
      <c r="B14" s="25"/>
      <c r="C14" s="26"/>
      <c r="D14" s="26"/>
      <c r="E14" s="27"/>
      <c r="F14" s="28"/>
      <c r="G14" s="29" t="str">
        <f>IF(OR($E14="",$F14="")=TRUE,"",E14*F14)</f>
        <v/>
      </c>
      <c r="H14" s="30"/>
      <c r="I14" s="29" t="str">
        <f>IF(G14="","",G14*(1-H14))</f>
        <v/>
      </c>
      <c r="J14" s="30"/>
      <c r="K14" s="29"/>
      <c r="L14" s="28"/>
      <c r="M14" s="64"/>
      <c r="N14" s="64"/>
      <c r="O14" s="64"/>
      <c r="P14" s="31">
        <f>SUM(M14:O14)</f>
        <v>0</v>
      </c>
      <c r="Q14" s="29">
        <f>K14+L14+P14</f>
        <v>0</v>
      </c>
      <c r="R14" s="32"/>
    </row>
    <row r="15" spans="1:18" s="20" customFormat="1" ht="12">
      <c r="A15" s="34" t="s">
        <v>2</v>
      </c>
      <c r="B15" s="25"/>
      <c r="C15" s="26"/>
      <c r="D15" s="26"/>
      <c r="E15" s="27"/>
      <c r="F15" s="28"/>
      <c r="G15" s="29" t="str">
        <f>IF(OR($E15="",$F15="")=TRUE,"",E15*F15)</f>
        <v/>
      </c>
      <c r="H15" s="30"/>
      <c r="I15" s="29" t="str">
        <f>IF(G15="","",G15*(1-H15))</f>
        <v/>
      </c>
      <c r="J15" s="30"/>
      <c r="K15" s="29"/>
      <c r="L15" s="28"/>
      <c r="M15" s="64"/>
      <c r="N15" s="64"/>
      <c r="O15" s="64"/>
      <c r="P15" s="31">
        <f>SUM(M15:O15)</f>
        <v>0</v>
      </c>
      <c r="Q15" s="29">
        <f>K15+L15+P15</f>
        <v>0</v>
      </c>
      <c r="R15" s="32"/>
    </row>
    <row r="16" spans="1:18" s="20" customFormat="1" ht="12">
      <c r="A16" s="34" t="s">
        <v>3</v>
      </c>
      <c r="B16" s="25"/>
      <c r="C16" s="26"/>
      <c r="D16" s="26"/>
      <c r="E16" s="27"/>
      <c r="F16" s="28"/>
      <c r="G16" s="29" t="str">
        <f>IF(OR($E16="",$F16="")=TRUE,"",E16*F16)</f>
        <v/>
      </c>
      <c r="H16" s="30"/>
      <c r="I16" s="29" t="str">
        <f>IF(G16="","",G16*(1-H16))</f>
        <v/>
      </c>
      <c r="J16" s="30"/>
      <c r="K16" s="29"/>
      <c r="L16" s="28"/>
      <c r="M16" s="64"/>
      <c r="N16" s="64"/>
      <c r="O16" s="64"/>
      <c r="P16" s="31">
        <f>SUM(M16:O16)</f>
        <v>0</v>
      </c>
      <c r="Q16" s="29">
        <f>K16+L16+P16</f>
        <v>0</v>
      </c>
      <c r="R16" s="32"/>
    </row>
    <row r="17" spans="1:18" s="20" customFormat="1" ht="12">
      <c r="A17" s="34" t="s">
        <v>38</v>
      </c>
      <c r="B17" s="35"/>
      <c r="C17" s="26"/>
      <c r="D17" s="26"/>
      <c r="E17" s="27"/>
      <c r="F17" s="28"/>
      <c r="G17" s="29" t="str">
        <f>IF(OR($E17="",$F17="")=TRUE,"",E17*F17)</f>
        <v/>
      </c>
      <c r="H17" s="30"/>
      <c r="I17" s="29" t="str">
        <f>IF(G17="","",G17*(1-H17))</f>
        <v/>
      </c>
      <c r="J17" s="30"/>
      <c r="K17" s="29"/>
      <c r="L17" s="28"/>
      <c r="M17" s="64"/>
      <c r="N17" s="64"/>
      <c r="O17" s="64"/>
      <c r="P17" s="31">
        <f>SUM(M17:O17)</f>
        <v>0</v>
      </c>
      <c r="Q17" s="29">
        <f>K17+L17+P17</f>
        <v>0</v>
      </c>
      <c r="R17" s="32"/>
    </row>
    <row r="18" spans="1:18" s="20" customFormat="1" ht="15" customHeight="1">
      <c r="A18" s="101" t="s">
        <v>42</v>
      </c>
      <c r="B18" s="102"/>
      <c r="C18" s="102"/>
      <c r="D18" s="102"/>
      <c r="E18" s="36"/>
      <c r="F18" s="37"/>
      <c r="G18" s="31">
        <f>SUM(G14:G17)</f>
        <v>0</v>
      </c>
      <c r="H18" s="38"/>
      <c r="I18" s="31">
        <f>SUM(I14:I17)</f>
        <v>0</v>
      </c>
      <c r="J18" s="31"/>
      <c r="K18" s="31">
        <f t="shared" ref="K18:Q18" si="1">SUM(K14:K17)</f>
        <v>0</v>
      </c>
      <c r="L18" s="31">
        <f t="shared" si="1"/>
        <v>0</v>
      </c>
      <c r="M18" s="31">
        <f t="shared" si="1"/>
        <v>0</v>
      </c>
      <c r="N18" s="31">
        <f t="shared" si="1"/>
        <v>0</v>
      </c>
      <c r="O18" s="31">
        <f t="shared" si="1"/>
        <v>0</v>
      </c>
      <c r="P18" s="31">
        <f t="shared" si="1"/>
        <v>0</v>
      </c>
      <c r="Q18" s="62">
        <f t="shared" si="1"/>
        <v>0</v>
      </c>
      <c r="R18" s="39"/>
    </row>
    <row r="19" spans="1:18" s="20" customFormat="1" ht="12">
      <c r="A19" s="98" t="s">
        <v>43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100"/>
    </row>
    <row r="20" spans="1:18" s="20" customFormat="1" ht="12">
      <c r="A20" s="34" t="s">
        <v>44</v>
      </c>
      <c r="B20" s="25"/>
      <c r="C20" s="26"/>
      <c r="D20" s="26"/>
      <c r="E20" s="27"/>
      <c r="F20" s="40"/>
      <c r="G20" s="29" t="str">
        <f>IF(OR($E20="",$F20="")=TRUE,"",E20*F20)</f>
        <v/>
      </c>
      <c r="H20" s="30"/>
      <c r="I20" s="29" t="str">
        <f>IF(G20="","",G20*(1-H20))</f>
        <v/>
      </c>
      <c r="J20" s="30"/>
      <c r="K20" s="29"/>
      <c r="L20" s="28"/>
      <c r="M20" s="64"/>
      <c r="N20" s="64"/>
      <c r="O20" s="64"/>
      <c r="P20" s="31">
        <f>SUM(M20:O20)</f>
        <v>0</v>
      </c>
      <c r="Q20" s="29">
        <f>K20+L20+P20</f>
        <v>0</v>
      </c>
      <c r="R20" s="32"/>
    </row>
    <row r="21" spans="1:18" s="20" customFormat="1" ht="12">
      <c r="A21" s="34" t="s">
        <v>45</v>
      </c>
      <c r="B21" s="25"/>
      <c r="C21" s="26"/>
      <c r="D21" s="26"/>
      <c r="E21" s="27"/>
      <c r="F21" s="40"/>
      <c r="G21" s="29" t="str">
        <f>IF(OR($E21="",$F21="")=TRUE,"",E21*F21)</f>
        <v/>
      </c>
      <c r="H21" s="30"/>
      <c r="I21" s="29" t="str">
        <f>IF(G21="","",G21*(1-H21))</f>
        <v/>
      </c>
      <c r="J21" s="30"/>
      <c r="K21" s="29"/>
      <c r="L21" s="28"/>
      <c r="M21" s="64"/>
      <c r="N21" s="64"/>
      <c r="O21" s="64"/>
      <c r="P21" s="31">
        <f>SUM(M21:O21)</f>
        <v>0</v>
      </c>
      <c r="Q21" s="29">
        <f>K21+L21+P21</f>
        <v>0</v>
      </c>
      <c r="R21" s="32"/>
    </row>
    <row r="22" spans="1:18" s="20" customFormat="1" ht="12">
      <c r="A22" s="34" t="s">
        <v>46</v>
      </c>
      <c r="B22" s="25"/>
      <c r="C22" s="26"/>
      <c r="D22" s="26"/>
      <c r="E22" s="27"/>
      <c r="F22" s="40"/>
      <c r="G22" s="29" t="str">
        <f>IF(OR($E22="",$F22="")=TRUE,"",E22*F22)</f>
        <v/>
      </c>
      <c r="H22" s="30"/>
      <c r="I22" s="29" t="str">
        <f>IF(G22="","",G22*(1-H22))</f>
        <v/>
      </c>
      <c r="J22" s="30"/>
      <c r="K22" s="29"/>
      <c r="L22" s="28"/>
      <c r="M22" s="64"/>
      <c r="N22" s="64"/>
      <c r="O22" s="64"/>
      <c r="P22" s="31">
        <f>SUM(M22:O22)</f>
        <v>0</v>
      </c>
      <c r="Q22" s="29">
        <f>K22+L22+P22</f>
        <v>0</v>
      </c>
      <c r="R22" s="32"/>
    </row>
    <row r="23" spans="1:18" s="20" customFormat="1" ht="12">
      <c r="A23" s="34" t="s">
        <v>38</v>
      </c>
      <c r="B23" s="35"/>
      <c r="C23" s="26"/>
      <c r="D23" s="26"/>
      <c r="E23" s="27"/>
      <c r="F23" s="40"/>
      <c r="G23" s="29" t="str">
        <f>IF(OR($E23="",$F23="")=TRUE,"",E23*F23)</f>
        <v/>
      </c>
      <c r="H23" s="30"/>
      <c r="I23" s="29" t="str">
        <f>IF(G23="","",G23*(1-H23))</f>
        <v/>
      </c>
      <c r="J23" s="30"/>
      <c r="K23" s="29"/>
      <c r="L23" s="28"/>
      <c r="M23" s="64"/>
      <c r="N23" s="64"/>
      <c r="O23" s="64"/>
      <c r="P23" s="31">
        <f>SUM(M23:O23)</f>
        <v>0</v>
      </c>
      <c r="Q23" s="29">
        <f>K23+L23+P23</f>
        <v>0</v>
      </c>
      <c r="R23" s="32"/>
    </row>
    <row r="24" spans="1:18" s="20" customFormat="1" ht="12" customHeight="1">
      <c r="A24" s="101" t="s">
        <v>47</v>
      </c>
      <c r="B24" s="102"/>
      <c r="C24" s="102"/>
      <c r="D24" s="102"/>
      <c r="E24" s="41"/>
      <c r="F24" s="37"/>
      <c r="G24" s="31">
        <f>SUM(G20:G23)</f>
        <v>0</v>
      </c>
      <c r="H24" s="38"/>
      <c r="I24" s="31">
        <f>SUM(I20:I23)</f>
        <v>0</v>
      </c>
      <c r="J24" s="31"/>
      <c r="K24" s="31"/>
      <c r="L24" s="31"/>
      <c r="M24" s="31"/>
      <c r="N24" s="31"/>
      <c r="O24" s="31"/>
      <c r="P24" s="31"/>
      <c r="Q24" s="62">
        <f>SUM(Q20:Q23)</f>
        <v>0</v>
      </c>
      <c r="R24" s="39"/>
    </row>
    <row r="25" spans="1:18" s="20" customFormat="1" ht="12" customHeight="1">
      <c r="A25" s="103" t="s">
        <v>61</v>
      </c>
      <c r="B25" s="104"/>
      <c r="C25" s="104"/>
      <c r="D25" s="105"/>
      <c r="E25" s="42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4"/>
      <c r="Q25" s="45">
        <f>Q12+Q18+Q24</f>
        <v>0</v>
      </c>
      <c r="R25" s="46"/>
    </row>
    <row r="26" spans="1:18" s="20" customFormat="1" ht="12">
      <c r="A26" s="98" t="s">
        <v>48</v>
      </c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100"/>
    </row>
    <row r="27" spans="1:18" s="20" customFormat="1" ht="21" customHeight="1">
      <c r="A27" s="98" t="s">
        <v>49</v>
      </c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100"/>
    </row>
    <row r="28" spans="1:18" s="20" customFormat="1" ht="12">
      <c r="A28" s="34" t="s">
        <v>50</v>
      </c>
      <c r="B28" s="25"/>
      <c r="C28" s="26"/>
      <c r="D28" s="26"/>
      <c r="E28" s="27"/>
      <c r="F28" s="40"/>
      <c r="G28" s="29" t="str">
        <f>IF(OR($E28="",$F28="")=TRUE,"",E28*F28)</f>
        <v/>
      </c>
      <c r="H28" s="30"/>
      <c r="I28" s="29" t="str">
        <f>IF(G28="","",G28*(1-H28))</f>
        <v/>
      </c>
      <c r="J28" s="30"/>
      <c r="K28" s="29"/>
      <c r="L28" s="28"/>
      <c r="M28" s="64"/>
      <c r="N28" s="64"/>
      <c r="O28" s="64"/>
      <c r="P28" s="31">
        <f>SUM(M28:O28)</f>
        <v>0</v>
      </c>
      <c r="Q28" s="29">
        <f>K28+L28+P28</f>
        <v>0</v>
      </c>
      <c r="R28" s="32"/>
    </row>
    <row r="29" spans="1:18" s="20" customFormat="1" ht="12">
      <c r="A29" s="34" t="s">
        <v>51</v>
      </c>
      <c r="B29" s="25"/>
      <c r="C29" s="26"/>
      <c r="D29" s="26"/>
      <c r="E29" s="27"/>
      <c r="F29" s="40"/>
      <c r="G29" s="29" t="str">
        <f>IF(OR($E29="",$F29="")=TRUE,"",E29*F29)</f>
        <v/>
      </c>
      <c r="H29" s="30"/>
      <c r="I29" s="29" t="str">
        <f>IF(G29="","",G29*(1-H29))</f>
        <v/>
      </c>
      <c r="J29" s="30"/>
      <c r="K29" s="29"/>
      <c r="L29" s="28"/>
      <c r="M29" s="64"/>
      <c r="N29" s="64"/>
      <c r="O29" s="64"/>
      <c r="P29" s="31">
        <f>SUM(M29:O29)</f>
        <v>0</v>
      </c>
      <c r="Q29" s="29">
        <f>K29+L29+P29</f>
        <v>0</v>
      </c>
      <c r="R29" s="32"/>
    </row>
    <row r="30" spans="1:18" s="20" customFormat="1" ht="12">
      <c r="A30" s="34" t="s">
        <v>38</v>
      </c>
      <c r="B30" s="25"/>
      <c r="C30" s="26"/>
      <c r="D30" s="26"/>
      <c r="E30" s="27"/>
      <c r="F30" s="40"/>
      <c r="G30" s="29" t="str">
        <f>IF(OR($E30="",$F30="")=TRUE,"",E30*F30)</f>
        <v/>
      </c>
      <c r="H30" s="30"/>
      <c r="I30" s="29" t="str">
        <f>IF(G30="","",G30*(1-H30))</f>
        <v/>
      </c>
      <c r="J30" s="30"/>
      <c r="K30" s="29"/>
      <c r="L30" s="28"/>
      <c r="M30" s="64"/>
      <c r="N30" s="64"/>
      <c r="O30" s="64"/>
      <c r="P30" s="31">
        <f>SUM(M30:O30)</f>
        <v>0</v>
      </c>
      <c r="Q30" s="29">
        <f>K30+L30+P30</f>
        <v>0</v>
      </c>
      <c r="R30" s="32"/>
    </row>
    <row r="31" spans="1:18" s="20" customFormat="1" ht="12">
      <c r="A31" s="98" t="s">
        <v>52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100"/>
    </row>
    <row r="32" spans="1:18" s="20" customFormat="1" ht="12">
      <c r="A32" s="34" t="s">
        <v>53</v>
      </c>
      <c r="B32" s="25"/>
      <c r="C32" s="26"/>
      <c r="D32" s="26"/>
      <c r="E32" s="27"/>
      <c r="F32" s="40"/>
      <c r="G32" s="29" t="str">
        <f>IF(OR($E32="",$F32="")=TRUE,"",E32*F32)</f>
        <v/>
      </c>
      <c r="H32" s="30"/>
      <c r="I32" s="29" t="str">
        <f>IF(G32="","",G32*(1-H32))</f>
        <v/>
      </c>
      <c r="J32" s="30"/>
      <c r="K32" s="29"/>
      <c r="L32" s="28"/>
      <c r="M32" s="64"/>
      <c r="N32" s="64"/>
      <c r="O32" s="64"/>
      <c r="P32" s="31">
        <f>SUM(M32:O32)</f>
        <v>0</v>
      </c>
      <c r="Q32" s="29">
        <f>K32+L32+P32</f>
        <v>0</v>
      </c>
      <c r="R32" s="32"/>
    </row>
    <row r="33" spans="1:18" s="20" customFormat="1" ht="12">
      <c r="A33" s="34" t="s">
        <v>54</v>
      </c>
      <c r="B33" s="25"/>
      <c r="C33" s="26"/>
      <c r="D33" s="26"/>
      <c r="E33" s="27"/>
      <c r="F33" s="40"/>
      <c r="G33" s="29" t="str">
        <f>IF(OR($E33="",$F33="")=TRUE,"",E33*F33)</f>
        <v/>
      </c>
      <c r="H33" s="30"/>
      <c r="I33" s="29" t="str">
        <f>IF(G33="","",G33*(1-H33))</f>
        <v/>
      </c>
      <c r="J33" s="30"/>
      <c r="K33" s="29"/>
      <c r="L33" s="28"/>
      <c r="M33" s="64"/>
      <c r="N33" s="64"/>
      <c r="O33" s="64"/>
      <c r="P33" s="31">
        <f>SUM(M33:O33)</f>
        <v>0</v>
      </c>
      <c r="Q33" s="29">
        <f>K33+L33+P33</f>
        <v>0</v>
      </c>
      <c r="R33" s="32"/>
    </row>
    <row r="34" spans="1:18" s="20" customFormat="1" ht="12">
      <c r="A34" s="34" t="s">
        <v>38</v>
      </c>
      <c r="B34" s="25"/>
      <c r="C34" s="26"/>
      <c r="D34" s="26"/>
      <c r="E34" s="27"/>
      <c r="F34" s="40"/>
      <c r="G34" s="29" t="str">
        <f>IF(OR($E34="",$F34="")=TRUE,"",E34*F34)</f>
        <v/>
      </c>
      <c r="H34" s="30"/>
      <c r="I34" s="29" t="str">
        <f>IF(G34="","",G34*(1-H34))</f>
        <v/>
      </c>
      <c r="J34" s="30"/>
      <c r="K34" s="29"/>
      <c r="L34" s="28"/>
      <c r="M34" s="64"/>
      <c r="N34" s="64"/>
      <c r="O34" s="64"/>
      <c r="P34" s="31">
        <f>SUM(M34:O34)</f>
        <v>0</v>
      </c>
      <c r="Q34" s="29">
        <f>K34+L34+P34</f>
        <v>0</v>
      </c>
      <c r="R34" s="32"/>
    </row>
    <row r="35" spans="1:18" s="20" customFormat="1" ht="12">
      <c r="A35" s="98" t="s">
        <v>55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100"/>
    </row>
    <row r="36" spans="1:18" s="20" customFormat="1" ht="12">
      <c r="A36" s="34" t="s">
        <v>56</v>
      </c>
      <c r="B36" s="25"/>
      <c r="C36" s="26"/>
      <c r="D36" s="26"/>
      <c r="E36" s="27"/>
      <c r="F36" s="40"/>
      <c r="G36" s="29" t="str">
        <f>IF(OR($E36="",$F36="")=TRUE,"",E36*F36)</f>
        <v/>
      </c>
      <c r="H36" s="30"/>
      <c r="I36" s="29" t="str">
        <f>IF(G36="","",G36*(1-H36))</f>
        <v/>
      </c>
      <c r="J36" s="30"/>
      <c r="K36" s="29"/>
      <c r="L36" s="28"/>
      <c r="M36" s="64"/>
      <c r="N36" s="64"/>
      <c r="O36" s="64"/>
      <c r="P36" s="31">
        <f>SUM(M36:O36)</f>
        <v>0</v>
      </c>
      <c r="Q36" s="29">
        <f>K36+L36+P36</f>
        <v>0</v>
      </c>
      <c r="R36" s="32"/>
    </row>
    <row r="37" spans="1:18" s="20" customFormat="1" ht="12">
      <c r="A37" s="34" t="s">
        <v>57</v>
      </c>
      <c r="B37" s="25"/>
      <c r="C37" s="26"/>
      <c r="D37" s="26"/>
      <c r="E37" s="27"/>
      <c r="F37" s="40"/>
      <c r="G37" s="29" t="str">
        <f>IF(OR($E37="",$F37="")=TRUE,"",E37*F37)</f>
        <v/>
      </c>
      <c r="H37" s="30"/>
      <c r="I37" s="29" t="str">
        <f>IF(G37="","",G37*(1-H37))</f>
        <v/>
      </c>
      <c r="J37" s="30"/>
      <c r="K37" s="29"/>
      <c r="L37" s="28"/>
      <c r="M37" s="64"/>
      <c r="N37" s="64"/>
      <c r="O37" s="64"/>
      <c r="P37" s="31">
        <f>SUM(M37:O37)</f>
        <v>0</v>
      </c>
      <c r="Q37" s="29">
        <f>K37+L37+P37</f>
        <v>0</v>
      </c>
      <c r="R37" s="32"/>
    </row>
    <row r="38" spans="1:18" s="33" customFormat="1" ht="12">
      <c r="A38" s="24" t="s">
        <v>38</v>
      </c>
      <c r="B38" s="25"/>
      <c r="C38" s="26"/>
      <c r="D38" s="26"/>
      <c r="E38" s="27"/>
      <c r="F38" s="28"/>
      <c r="G38" s="29" t="str">
        <f>IF(OR($E38="",$F38="")=TRUE,"",E38*F38)</f>
        <v/>
      </c>
      <c r="H38" s="30"/>
      <c r="I38" s="29" t="str">
        <f>IF(G38="","",G38*(1-H38))</f>
        <v/>
      </c>
      <c r="J38" s="30"/>
      <c r="K38" s="29"/>
      <c r="L38" s="28"/>
      <c r="M38" s="64"/>
      <c r="N38" s="64"/>
      <c r="O38" s="64"/>
      <c r="P38" s="31">
        <f>SUM(M38:O38)</f>
        <v>0</v>
      </c>
      <c r="Q38" s="29">
        <f>K38+L38+P38</f>
        <v>0</v>
      </c>
      <c r="R38" s="32"/>
    </row>
    <row r="39" spans="1:18" s="52" customFormat="1" ht="14.25">
      <c r="A39" s="20"/>
      <c r="B39" s="47"/>
      <c r="C39" s="48"/>
      <c r="D39" s="47"/>
      <c r="E39" s="49"/>
      <c r="F39" s="50"/>
      <c r="G39" s="50"/>
      <c r="H39" s="51"/>
      <c r="I39" s="50"/>
      <c r="J39" s="50"/>
      <c r="K39" s="50"/>
      <c r="L39" s="50"/>
      <c r="M39" s="50"/>
      <c r="N39" s="50"/>
      <c r="O39" s="50"/>
      <c r="P39" s="50"/>
      <c r="Q39" s="50"/>
      <c r="R39" s="50"/>
    </row>
    <row r="40" spans="1:18" s="55" customFormat="1" ht="14.25">
      <c r="B40" s="57"/>
      <c r="C40" s="58"/>
      <c r="D40" s="56"/>
      <c r="E40" s="59"/>
      <c r="F40" s="59"/>
      <c r="G40" s="53"/>
      <c r="H40" s="54"/>
      <c r="I40" s="53"/>
      <c r="J40" s="53"/>
      <c r="K40" s="53"/>
      <c r="L40" s="53"/>
      <c r="M40" s="53"/>
      <c r="N40" s="53"/>
      <c r="O40" s="53"/>
      <c r="P40" s="53"/>
      <c r="Q40" s="53"/>
    </row>
    <row r="41" spans="1:18" s="55" customFormat="1" ht="14.25">
      <c r="B41" s="57"/>
      <c r="C41" s="58"/>
      <c r="D41" s="56"/>
      <c r="E41" s="59"/>
      <c r="F41" s="59"/>
      <c r="G41" s="53"/>
      <c r="H41" s="54"/>
      <c r="I41" s="53"/>
      <c r="J41" s="53"/>
      <c r="K41" s="53"/>
      <c r="L41" s="53"/>
      <c r="M41" s="53"/>
      <c r="N41" s="53"/>
      <c r="O41" s="53"/>
      <c r="P41" s="53"/>
      <c r="Q41" s="53"/>
    </row>
  </sheetData>
  <mergeCells count="29">
    <mergeCell ref="R3:R5"/>
    <mergeCell ref="M4:P4"/>
    <mergeCell ref="A1:R1"/>
    <mergeCell ref="A3:A5"/>
    <mergeCell ref="B3:B5"/>
    <mergeCell ref="C3:C5"/>
    <mergeCell ref="D3:D5"/>
    <mergeCell ref="E3:E4"/>
    <mergeCell ref="F3:F4"/>
    <mergeCell ref="G3:G4"/>
    <mergeCell ref="H3:H4"/>
    <mergeCell ref="I3:I4"/>
    <mergeCell ref="J3:J4"/>
    <mergeCell ref="K3:K4"/>
    <mergeCell ref="L3:L4"/>
    <mergeCell ref="M3:P3"/>
    <mergeCell ref="Q3:Q4"/>
    <mergeCell ref="A35:R35"/>
    <mergeCell ref="A6:R6"/>
    <mergeCell ref="A7:R7"/>
    <mergeCell ref="A12:D12"/>
    <mergeCell ref="A13:R13"/>
    <mergeCell ref="A18:D18"/>
    <mergeCell ref="A19:R19"/>
    <mergeCell ref="A24:D24"/>
    <mergeCell ref="A25:D25"/>
    <mergeCell ref="A26:R26"/>
    <mergeCell ref="A27:R27"/>
    <mergeCell ref="A31:R31"/>
  </mergeCells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典型配置2</vt:lpstr>
      <vt:lpstr>典型配置2-1</vt:lpstr>
      <vt:lpstr>典型配置3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赵琪</dc:creator>
  <cp:lastModifiedBy>YuKy1327</cp:lastModifiedBy>
  <cp:lastPrinted>2009-07-06T07:03:20Z</cp:lastPrinted>
  <dcterms:created xsi:type="dcterms:W3CDTF">1996-12-17T01:32:42Z</dcterms:created>
  <dcterms:modified xsi:type="dcterms:W3CDTF">2013-06-23T01:36:23Z</dcterms:modified>
</cp:coreProperties>
</file>